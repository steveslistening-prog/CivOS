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L3 - Subsystems\Templates\"/>
    </mc:Choice>
  </mc:AlternateContent>
  <xr:revisionPtr revIDLastSave="0" documentId="13_ncr:1_{C7722261-A590-49E8-AE7B-96028481AFF0}" xr6:coauthVersionLast="47" xr6:coauthVersionMax="47" xr10:uidLastSave="{00000000-0000-0000-0000-000000000000}"/>
  <bookViews>
    <workbookView xWindow="23355" yWindow="2700" windowWidth="13710" windowHeight="15345" firstSheet="3" activeTab="11" xr2:uid="{2179BD91-8E39-4331-8B26-84EB5ABAFBD5}"/>
  </bookViews>
  <sheets>
    <sheet name="F1" sheetId="2" r:id="rId1"/>
    <sheet name="F2" sheetId="3" r:id="rId2"/>
    <sheet name="F3" sheetId="4" r:id="rId3"/>
    <sheet name="F4" sheetId="5" r:id="rId4"/>
    <sheet name="F5" sheetId="6" r:id="rId5"/>
    <sheet name="F6" sheetId="7" r:id="rId6"/>
    <sheet name="F7" sheetId="8" r:id="rId7"/>
    <sheet name="F8" sheetId="9" r:id="rId8"/>
    <sheet name="F9" sheetId="10" r:id="rId9"/>
    <sheet name="F10" sheetId="11" r:id="rId10"/>
    <sheet name="Index" sheetId="1" r:id="rId11"/>
    <sheet name="Cross Family Summary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4" i="12" l="1"/>
  <c r="D74" i="12"/>
  <c r="E74" i="12"/>
  <c r="F74" i="12"/>
  <c r="G74" i="12"/>
  <c r="H74" i="12"/>
  <c r="I74" i="12"/>
  <c r="C75" i="12"/>
  <c r="D75" i="12"/>
  <c r="E75" i="12"/>
  <c r="F75" i="12"/>
  <c r="G75" i="12"/>
  <c r="H75" i="12"/>
  <c r="I75" i="12"/>
  <c r="C76" i="12"/>
  <c r="D76" i="12"/>
  <c r="E76" i="12"/>
  <c r="F76" i="12"/>
  <c r="G76" i="12"/>
  <c r="H76" i="12"/>
  <c r="I76" i="12"/>
  <c r="C77" i="12"/>
  <c r="D77" i="12"/>
  <c r="E77" i="12"/>
  <c r="F77" i="12"/>
  <c r="G77" i="12"/>
  <c r="H77" i="12"/>
  <c r="I77" i="12"/>
  <c r="C78" i="12"/>
  <c r="D78" i="12"/>
  <c r="E78" i="12"/>
  <c r="F78" i="12"/>
  <c r="G78" i="12"/>
  <c r="H78" i="12"/>
  <c r="I78" i="12"/>
  <c r="C79" i="12"/>
  <c r="D79" i="12"/>
  <c r="E79" i="12"/>
  <c r="F79" i="12"/>
  <c r="G79" i="12"/>
  <c r="H79" i="12"/>
  <c r="I79" i="12"/>
  <c r="C80" i="12"/>
  <c r="D80" i="12"/>
  <c r="E80" i="12"/>
  <c r="F80" i="12"/>
  <c r="G80" i="12"/>
  <c r="H80" i="12"/>
  <c r="I80" i="12"/>
  <c r="C81" i="12"/>
  <c r="D81" i="12"/>
  <c r="E81" i="12"/>
  <c r="F81" i="12"/>
  <c r="G81" i="12"/>
  <c r="H81" i="12"/>
  <c r="I81" i="12"/>
  <c r="C66" i="12"/>
  <c r="D66" i="12"/>
  <c r="E66" i="12"/>
  <c r="F66" i="12"/>
  <c r="G66" i="12"/>
  <c r="H66" i="12"/>
  <c r="I66" i="12"/>
  <c r="C67" i="12"/>
  <c r="D67" i="12"/>
  <c r="E67" i="12"/>
  <c r="F67" i="12"/>
  <c r="G67" i="12"/>
  <c r="H67" i="12"/>
  <c r="I67" i="12"/>
  <c r="C68" i="12"/>
  <c r="D68" i="12"/>
  <c r="E68" i="12"/>
  <c r="F68" i="12"/>
  <c r="G68" i="12"/>
  <c r="H68" i="12"/>
  <c r="I68" i="12"/>
  <c r="C69" i="12"/>
  <c r="D69" i="12"/>
  <c r="E69" i="12"/>
  <c r="F69" i="12"/>
  <c r="G69" i="12"/>
  <c r="H69" i="12"/>
  <c r="I69" i="12"/>
  <c r="C70" i="12"/>
  <c r="D70" i="12"/>
  <c r="E70" i="12"/>
  <c r="F70" i="12"/>
  <c r="G70" i="12"/>
  <c r="H70" i="12"/>
  <c r="I70" i="12"/>
  <c r="C71" i="12"/>
  <c r="D71" i="12"/>
  <c r="E71" i="12"/>
  <c r="F71" i="12"/>
  <c r="G71" i="12"/>
  <c r="H71" i="12"/>
  <c r="I71" i="12"/>
  <c r="C72" i="12"/>
  <c r="D72" i="12"/>
  <c r="E72" i="12"/>
  <c r="F72" i="12"/>
  <c r="G72" i="12"/>
  <c r="H72" i="12"/>
  <c r="I72" i="12"/>
  <c r="C73" i="12"/>
  <c r="D73" i="12"/>
  <c r="E73" i="12"/>
  <c r="F73" i="12"/>
  <c r="G73" i="12"/>
  <c r="H73" i="12"/>
  <c r="I73" i="12"/>
  <c r="C58" i="12"/>
  <c r="D58" i="12"/>
  <c r="E58" i="12"/>
  <c r="F58" i="12"/>
  <c r="G58" i="12"/>
  <c r="H58" i="12"/>
  <c r="I58" i="12"/>
  <c r="C59" i="12"/>
  <c r="D59" i="12"/>
  <c r="E59" i="12"/>
  <c r="F59" i="12"/>
  <c r="G59" i="12"/>
  <c r="H59" i="12"/>
  <c r="I59" i="12"/>
  <c r="C60" i="12"/>
  <c r="D60" i="12"/>
  <c r="E60" i="12"/>
  <c r="F60" i="12"/>
  <c r="G60" i="12"/>
  <c r="H60" i="12"/>
  <c r="I60" i="12"/>
  <c r="C61" i="12"/>
  <c r="D61" i="12"/>
  <c r="E61" i="12"/>
  <c r="F61" i="12"/>
  <c r="G61" i="12"/>
  <c r="H61" i="12"/>
  <c r="I61" i="12"/>
  <c r="C62" i="12"/>
  <c r="D62" i="12"/>
  <c r="E62" i="12"/>
  <c r="F62" i="12"/>
  <c r="G62" i="12"/>
  <c r="H62" i="12"/>
  <c r="I62" i="12"/>
  <c r="C63" i="12"/>
  <c r="D63" i="12"/>
  <c r="E63" i="12"/>
  <c r="F63" i="12"/>
  <c r="G63" i="12"/>
  <c r="H63" i="12"/>
  <c r="I63" i="12"/>
  <c r="C64" i="12"/>
  <c r="D64" i="12"/>
  <c r="E64" i="12"/>
  <c r="F64" i="12"/>
  <c r="G64" i="12"/>
  <c r="H64" i="12"/>
  <c r="I64" i="12"/>
  <c r="C65" i="12"/>
  <c r="D65" i="12"/>
  <c r="E65" i="12"/>
  <c r="F65" i="12"/>
  <c r="G65" i="12"/>
  <c r="H65" i="12"/>
  <c r="I65" i="12"/>
  <c r="C50" i="12"/>
  <c r="D50" i="12"/>
  <c r="E50" i="12"/>
  <c r="F50" i="12"/>
  <c r="G50" i="12"/>
  <c r="H50" i="12"/>
  <c r="I50" i="12"/>
  <c r="C51" i="12"/>
  <c r="D51" i="12"/>
  <c r="E51" i="12"/>
  <c r="F51" i="12"/>
  <c r="G51" i="12"/>
  <c r="H51" i="12"/>
  <c r="I51" i="12"/>
  <c r="C52" i="12"/>
  <c r="D52" i="12"/>
  <c r="E52" i="12"/>
  <c r="F52" i="12"/>
  <c r="G52" i="12"/>
  <c r="H52" i="12"/>
  <c r="I52" i="12"/>
  <c r="C53" i="12"/>
  <c r="D53" i="12"/>
  <c r="E53" i="12"/>
  <c r="F53" i="12"/>
  <c r="G53" i="12"/>
  <c r="H53" i="12"/>
  <c r="I53" i="12"/>
  <c r="C54" i="12"/>
  <c r="D54" i="12"/>
  <c r="E54" i="12"/>
  <c r="F54" i="12"/>
  <c r="G54" i="12"/>
  <c r="H54" i="12"/>
  <c r="I54" i="12"/>
  <c r="C55" i="12"/>
  <c r="D55" i="12"/>
  <c r="E55" i="12"/>
  <c r="F55" i="12"/>
  <c r="G55" i="12"/>
  <c r="H55" i="12"/>
  <c r="I55" i="12"/>
  <c r="C56" i="12"/>
  <c r="D56" i="12"/>
  <c r="E56" i="12"/>
  <c r="F56" i="12"/>
  <c r="G56" i="12"/>
  <c r="H56" i="12"/>
  <c r="I56" i="12"/>
  <c r="C57" i="12"/>
  <c r="D57" i="12"/>
  <c r="E57" i="12"/>
  <c r="F57" i="12"/>
  <c r="G57" i="12"/>
  <c r="H57" i="12"/>
  <c r="I57" i="12"/>
  <c r="C42" i="12"/>
  <c r="D42" i="12"/>
  <c r="E42" i="12"/>
  <c r="F42" i="12"/>
  <c r="G42" i="12"/>
  <c r="H42" i="12"/>
  <c r="I42" i="12"/>
  <c r="C43" i="12"/>
  <c r="D43" i="12"/>
  <c r="E43" i="12"/>
  <c r="F43" i="12"/>
  <c r="G43" i="12"/>
  <c r="H43" i="12"/>
  <c r="I43" i="12"/>
  <c r="C44" i="12"/>
  <c r="D44" i="12"/>
  <c r="E44" i="12"/>
  <c r="F44" i="12"/>
  <c r="G44" i="12"/>
  <c r="H44" i="12"/>
  <c r="I44" i="12"/>
  <c r="C45" i="12"/>
  <c r="D45" i="12"/>
  <c r="E45" i="12"/>
  <c r="F45" i="12"/>
  <c r="G45" i="12"/>
  <c r="H45" i="12"/>
  <c r="I45" i="12"/>
  <c r="C46" i="12"/>
  <c r="D46" i="12"/>
  <c r="E46" i="12"/>
  <c r="F46" i="12"/>
  <c r="G46" i="12"/>
  <c r="H46" i="12"/>
  <c r="I46" i="12"/>
  <c r="C47" i="12"/>
  <c r="D47" i="12"/>
  <c r="E47" i="12"/>
  <c r="F47" i="12"/>
  <c r="G47" i="12"/>
  <c r="H47" i="12"/>
  <c r="I47" i="12"/>
  <c r="C48" i="12"/>
  <c r="D48" i="12"/>
  <c r="E48" i="12"/>
  <c r="F48" i="12"/>
  <c r="G48" i="12"/>
  <c r="H48" i="12"/>
  <c r="I48" i="12"/>
  <c r="C49" i="12"/>
  <c r="D49" i="12"/>
  <c r="E49" i="12"/>
  <c r="F49" i="12"/>
  <c r="G49" i="12"/>
  <c r="H49" i="12"/>
  <c r="I49" i="12"/>
  <c r="C34" i="12"/>
  <c r="D34" i="12"/>
  <c r="E34" i="12"/>
  <c r="F34" i="12"/>
  <c r="G34" i="12"/>
  <c r="H34" i="12"/>
  <c r="I34" i="12"/>
  <c r="C35" i="12"/>
  <c r="D35" i="12"/>
  <c r="E35" i="12"/>
  <c r="F35" i="12"/>
  <c r="G35" i="12"/>
  <c r="H35" i="12"/>
  <c r="I35" i="12"/>
  <c r="C36" i="12"/>
  <c r="D36" i="12"/>
  <c r="E36" i="12"/>
  <c r="F36" i="12"/>
  <c r="G36" i="12"/>
  <c r="H36" i="12"/>
  <c r="I36" i="12"/>
  <c r="C37" i="12"/>
  <c r="D37" i="12"/>
  <c r="E37" i="12"/>
  <c r="F37" i="12"/>
  <c r="G37" i="12"/>
  <c r="H37" i="12"/>
  <c r="I37" i="12"/>
  <c r="C38" i="12"/>
  <c r="D38" i="12"/>
  <c r="E38" i="12"/>
  <c r="F38" i="12"/>
  <c r="G38" i="12"/>
  <c r="H38" i="12"/>
  <c r="I38" i="12"/>
  <c r="C39" i="12"/>
  <c r="D39" i="12"/>
  <c r="E39" i="12"/>
  <c r="F39" i="12"/>
  <c r="G39" i="12"/>
  <c r="H39" i="12"/>
  <c r="I39" i="12"/>
  <c r="C40" i="12"/>
  <c r="D40" i="12"/>
  <c r="E40" i="12"/>
  <c r="F40" i="12"/>
  <c r="G40" i="12"/>
  <c r="H40" i="12"/>
  <c r="I40" i="12"/>
  <c r="C41" i="12"/>
  <c r="D41" i="12"/>
  <c r="E41" i="12"/>
  <c r="F41" i="12"/>
  <c r="G41" i="12"/>
  <c r="H41" i="12"/>
  <c r="I41" i="12"/>
  <c r="C26" i="12"/>
  <c r="D26" i="12"/>
  <c r="E26" i="12"/>
  <c r="F26" i="12"/>
  <c r="G26" i="12"/>
  <c r="H26" i="12"/>
  <c r="I26" i="12"/>
  <c r="C27" i="12"/>
  <c r="D27" i="12"/>
  <c r="E27" i="12"/>
  <c r="F27" i="12"/>
  <c r="G27" i="12"/>
  <c r="H27" i="12"/>
  <c r="I27" i="12"/>
  <c r="C28" i="12"/>
  <c r="D28" i="12"/>
  <c r="E28" i="12"/>
  <c r="F28" i="12"/>
  <c r="G28" i="12"/>
  <c r="H28" i="12"/>
  <c r="I28" i="12"/>
  <c r="C29" i="12"/>
  <c r="D29" i="12"/>
  <c r="E29" i="12"/>
  <c r="F29" i="12"/>
  <c r="G29" i="12"/>
  <c r="H29" i="12"/>
  <c r="I29" i="12"/>
  <c r="C30" i="12"/>
  <c r="D30" i="12"/>
  <c r="E30" i="12"/>
  <c r="F30" i="12"/>
  <c r="G30" i="12"/>
  <c r="H30" i="12"/>
  <c r="I30" i="12"/>
  <c r="C31" i="12"/>
  <c r="D31" i="12"/>
  <c r="E31" i="12"/>
  <c r="F31" i="12"/>
  <c r="G31" i="12"/>
  <c r="H31" i="12"/>
  <c r="I31" i="12"/>
  <c r="C32" i="12"/>
  <c r="D32" i="12"/>
  <c r="E32" i="12"/>
  <c r="F32" i="12"/>
  <c r="G32" i="12"/>
  <c r="H32" i="12"/>
  <c r="I32" i="12"/>
  <c r="C33" i="12"/>
  <c r="D33" i="12"/>
  <c r="E33" i="12"/>
  <c r="F33" i="12"/>
  <c r="G33" i="12"/>
  <c r="H33" i="12"/>
  <c r="I33" i="12"/>
  <c r="C18" i="12"/>
  <c r="D18" i="12"/>
  <c r="E18" i="12"/>
  <c r="F18" i="12"/>
  <c r="G18" i="12"/>
  <c r="H18" i="12"/>
  <c r="I18" i="12"/>
  <c r="C19" i="12"/>
  <c r="D19" i="12"/>
  <c r="E19" i="12"/>
  <c r="F19" i="12"/>
  <c r="G19" i="12"/>
  <c r="H19" i="12"/>
  <c r="I19" i="12"/>
  <c r="C20" i="12"/>
  <c r="D20" i="12"/>
  <c r="E20" i="12"/>
  <c r="F20" i="12"/>
  <c r="G20" i="12"/>
  <c r="H20" i="12"/>
  <c r="I20" i="12"/>
  <c r="C21" i="12"/>
  <c r="D21" i="12"/>
  <c r="E21" i="12"/>
  <c r="F21" i="12"/>
  <c r="G21" i="12"/>
  <c r="H21" i="12"/>
  <c r="I21" i="12"/>
  <c r="C22" i="12"/>
  <c r="D22" i="12"/>
  <c r="E22" i="12"/>
  <c r="F22" i="12"/>
  <c r="G22" i="12"/>
  <c r="H22" i="12"/>
  <c r="I22" i="12"/>
  <c r="C23" i="12"/>
  <c r="D23" i="12"/>
  <c r="E23" i="12"/>
  <c r="F23" i="12"/>
  <c r="G23" i="12"/>
  <c r="H23" i="12"/>
  <c r="I23" i="12"/>
  <c r="C24" i="12"/>
  <c r="D24" i="12"/>
  <c r="E24" i="12"/>
  <c r="F24" i="12"/>
  <c r="G24" i="12"/>
  <c r="H24" i="12"/>
  <c r="I24" i="12"/>
  <c r="C25" i="12"/>
  <c r="D25" i="12"/>
  <c r="E25" i="12"/>
  <c r="F25" i="12"/>
  <c r="G25" i="12"/>
  <c r="H25" i="12"/>
  <c r="I25" i="12"/>
  <c r="C10" i="12"/>
  <c r="D10" i="12"/>
  <c r="E10" i="12"/>
  <c r="F10" i="12"/>
  <c r="G10" i="12"/>
  <c r="H10" i="12"/>
  <c r="I10" i="12"/>
  <c r="C11" i="12"/>
  <c r="D11" i="12"/>
  <c r="E11" i="12"/>
  <c r="F11" i="12"/>
  <c r="G11" i="12"/>
  <c r="H11" i="12"/>
  <c r="I11" i="12"/>
  <c r="C12" i="12"/>
  <c r="D12" i="12"/>
  <c r="E12" i="12"/>
  <c r="F12" i="12"/>
  <c r="G12" i="12"/>
  <c r="H12" i="12"/>
  <c r="I12" i="12"/>
  <c r="C13" i="12"/>
  <c r="D13" i="12"/>
  <c r="E13" i="12"/>
  <c r="F13" i="12"/>
  <c r="G13" i="12"/>
  <c r="H13" i="12"/>
  <c r="I13" i="12"/>
  <c r="C14" i="12"/>
  <c r="D14" i="12"/>
  <c r="E14" i="12"/>
  <c r="F14" i="12"/>
  <c r="G14" i="12"/>
  <c r="H14" i="12"/>
  <c r="I14" i="12"/>
  <c r="C15" i="12"/>
  <c r="D15" i="12"/>
  <c r="E15" i="12"/>
  <c r="F15" i="12"/>
  <c r="G15" i="12"/>
  <c r="H15" i="12"/>
  <c r="I15" i="12"/>
  <c r="C16" i="12"/>
  <c r="D16" i="12"/>
  <c r="E16" i="12"/>
  <c r="F16" i="12"/>
  <c r="G16" i="12"/>
  <c r="H16" i="12"/>
  <c r="I16" i="12"/>
  <c r="C17" i="12"/>
  <c r="D17" i="12"/>
  <c r="E17" i="12"/>
  <c r="F17" i="12"/>
  <c r="G17" i="12"/>
  <c r="H17" i="12"/>
  <c r="I17" i="12"/>
  <c r="C2" i="12"/>
  <c r="D2" i="12"/>
  <c r="E2" i="12"/>
  <c r="F2" i="12"/>
  <c r="G2" i="12"/>
  <c r="H2" i="12"/>
  <c r="I2" i="12"/>
  <c r="C3" i="12"/>
  <c r="D3" i="12"/>
  <c r="E3" i="12"/>
  <c r="F3" i="12"/>
  <c r="G3" i="12"/>
  <c r="H3" i="12"/>
  <c r="I3" i="12"/>
  <c r="C4" i="12"/>
  <c r="D4" i="12"/>
  <c r="E4" i="12"/>
  <c r="F4" i="12"/>
  <c r="G4" i="12"/>
  <c r="H4" i="12"/>
  <c r="I4" i="12"/>
  <c r="C5" i="12"/>
  <c r="D5" i="12"/>
  <c r="E5" i="12"/>
  <c r="F5" i="12"/>
  <c r="G5" i="12"/>
  <c r="H5" i="12"/>
  <c r="I5" i="12"/>
  <c r="C6" i="12"/>
  <c r="D6" i="12"/>
  <c r="E6" i="12"/>
  <c r="F6" i="12"/>
  <c r="G6" i="12"/>
  <c r="H6" i="12"/>
  <c r="I6" i="12"/>
  <c r="C7" i="12"/>
  <c r="D7" i="12"/>
  <c r="E7" i="12"/>
  <c r="F7" i="12"/>
  <c r="G7" i="12"/>
  <c r="H7" i="12"/>
  <c r="I7" i="12"/>
  <c r="C8" i="12"/>
  <c r="D8" i="12"/>
  <c r="E8" i="12"/>
  <c r="F8" i="12"/>
  <c r="G8" i="12"/>
  <c r="H8" i="12"/>
  <c r="I8" i="12"/>
  <c r="C9" i="12"/>
  <c r="D9" i="12"/>
  <c r="E9" i="12"/>
  <c r="F9" i="12"/>
  <c r="G9" i="12"/>
  <c r="H9" i="12"/>
  <c r="I9" i="12"/>
</calcChain>
</file>

<file path=xl/sharedStrings.xml><?xml version="1.0" encoding="utf-8"?>
<sst xmlns="http://schemas.openxmlformats.org/spreadsheetml/2006/main" count="892" uniqueCount="571">
  <si>
    <t>Family</t>
  </si>
  <si>
    <t>Sheet Name</t>
  </si>
  <si>
    <t>Description</t>
  </si>
  <si>
    <t>Subsystem</t>
  </si>
  <si>
    <t>Purpose</t>
  </si>
  <si>
    <t>Inputs</t>
  </si>
  <si>
    <t>Outputs</t>
  </si>
  <si>
    <t>Risks</t>
  </si>
  <si>
    <t>Interfaces</t>
  </si>
  <si>
    <t>Metrics</t>
  </si>
  <si>
    <t>Externalities</t>
  </si>
  <si>
    <t>Decision Systems &amp; Mandates</t>
  </si>
  <si>
    <t>Define how decisions are made, by whom, under what authority</t>
  </si>
  <si>
    <t>Mandates, roles, constraints, data, proposals</t>
  </si>
  <si>
    <t>Decisions, approvals, rejections, rationale</t>
  </si>
  <si>
    <t>Unclear authority, decision bottlenecks, capture</t>
  </si>
  <si>
    <t>F3 (data), F4 (feedback), F5 (incentives)</t>
  </si>
  <si>
    <t>Decision latency, decision accuracy, mandate clarity</t>
  </si>
  <si>
    <t>Power concentration, opaque decisions</t>
  </si>
  <si>
    <t>Institutional Architecture &amp; Roles</t>
  </si>
  <si>
    <t>Define structure, roles, responsibilities</t>
  </si>
  <si>
    <t>Org charts, mandates, legal constraints</t>
  </si>
  <si>
    <t>Role definitions, responsibility maps</t>
  </si>
  <si>
    <t>Role ambiguity, duplication, gaps</t>
  </si>
  <si>
    <t>F8 (integration), F10 (standards)</t>
  </si>
  <si>
    <t>Role clarity, overlap index</t>
  </si>
  <si>
    <t>Institutional rigidity</t>
  </si>
  <si>
    <t>Transparency &amp; Public Records</t>
  </si>
  <si>
    <t>Ensure decisions and actions are visible</t>
  </si>
  <si>
    <t>Logs, decisions, data, records</t>
  </si>
  <si>
    <t>Public records, disclosures</t>
  </si>
  <si>
    <t>Hidden actions, incomplete records</t>
  </si>
  <si>
    <t>F3 (audit), F4 (feedback)</t>
  </si>
  <si>
    <t>Transparency coverage, record completeness</t>
  </si>
  <si>
    <t>Privacy leakage</t>
  </si>
  <si>
    <t>Accountability &amp; Oversight</t>
  </si>
  <si>
    <t>Detect and correct misuse, errors, misconduct</t>
  </si>
  <si>
    <t>Reports, audits, complaints</t>
  </si>
  <si>
    <t>Corrective actions, sanctions</t>
  </si>
  <si>
    <t>Oversight capture, weak enforcement</t>
  </si>
  <si>
    <t>F3 (audit), F5 (incentives)</t>
  </si>
  <si>
    <t>Oversight response time, enforcement rate</t>
  </si>
  <si>
    <t>Chilling effects</t>
  </si>
  <si>
    <t>Ethics, Integrity &amp; Anti‑Corruption</t>
  </si>
  <si>
    <t>Prevent corruption, conflicts, unethical behaviour</t>
  </si>
  <si>
    <t>Declarations, audits, incentives</t>
  </si>
  <si>
    <t>Integrity reports, conflict flags</t>
  </si>
  <si>
    <t>Corruption, conflicts of interest</t>
  </si>
  <si>
    <t>F5 (incentives), F3 (audit)</t>
  </si>
  <si>
    <t>Conflict detection rate, integrity score</t>
  </si>
  <si>
    <t>Over‑compliance burden</t>
  </si>
  <si>
    <t>Dispute Resolution &amp; Redress</t>
  </si>
  <si>
    <t>Resolve disputes fairly and consistently</t>
  </si>
  <si>
    <t>Complaints, evidence, rules</t>
  </si>
  <si>
    <t>Resolutions, remedies</t>
  </si>
  <si>
    <t>Bias, backlog, inconsistent rulings</t>
  </si>
  <si>
    <t>F4 (feedback), F1 (mandates)</t>
  </si>
  <si>
    <t>Resolution time, fairness index</t>
  </si>
  <si>
    <t>Strategic complaints</t>
  </si>
  <si>
    <t>Delegation &amp; Escalation Paths</t>
  </si>
  <si>
    <t>Ensure decisions escalate or delegate correctly</t>
  </si>
  <si>
    <t>Mandates, thresholds, workflows</t>
  </si>
  <si>
    <t>Escalation events, delegated actions</t>
  </si>
  <si>
    <t>Escalation failure, overload</t>
  </si>
  <si>
    <t>F2 (risk), F8 (integration)</t>
  </si>
  <si>
    <t>Escalation correctness, overload frequency</t>
  </si>
  <si>
    <t>Over‑centralisation</t>
  </si>
  <si>
    <t>Legitimacy &amp; Consent Maintenance</t>
  </si>
  <si>
    <t>Maintain public trust and consent</t>
  </si>
  <si>
    <t>Sentiment, participation, transparency</t>
  </si>
  <si>
    <t>Legitimacy signals, trust reports</t>
  </si>
  <si>
    <t>Loss of legitimacy, disengagement</t>
  </si>
  <si>
    <t>F4 (feedback), F5 (behaviour)</t>
  </si>
  <si>
    <t>Trust index, participation rate</t>
  </si>
  <si>
    <t>Populist capture</t>
  </si>
  <si>
    <t>Hazard Detection &amp; Early Warning</t>
  </si>
  <si>
    <t>Detect emerging risks early</t>
  </si>
  <si>
    <t>Sensors, reports, data streams</t>
  </si>
  <si>
    <t>Alerts, warnings</t>
  </si>
  <si>
    <t>Missed signals, false positives</t>
  </si>
  <si>
    <t>F3 (data), F7 (ecology)</t>
  </si>
  <si>
    <t>Detection latency, false‑positive rate</t>
  </si>
  <si>
    <t>Alarm fatigue</t>
  </si>
  <si>
    <t>Risk Assessment &amp; Prioritisation</t>
  </si>
  <si>
    <t>Rank risks by severity and likelihood</t>
  </si>
  <si>
    <t>Hazard data, models</t>
  </si>
  <si>
    <t>Risk scores, priority lists</t>
  </si>
  <si>
    <t>Mis‑prioritisation, bias</t>
  </si>
  <si>
    <t>F5 (behaviour), F8 (integration)</t>
  </si>
  <si>
    <t>Prioritisation accuracy</t>
  </si>
  <si>
    <t>Resource misallocation</t>
  </si>
  <si>
    <t>Crisis Coordination</t>
  </si>
  <si>
    <t>Coordinate multi‑actor response</t>
  </si>
  <si>
    <t>Alerts, resources, mandates</t>
  </si>
  <si>
    <t>Coordinated actions</t>
  </si>
  <si>
    <t>Coordination failure</t>
  </si>
  <si>
    <t>F1 (governance), F6 (infrastructure)</t>
  </si>
  <si>
    <t>Response time, coordination score</t>
  </si>
  <si>
    <t>Continuity Planning</t>
  </si>
  <si>
    <t>Ensure operations survive disruptions</t>
  </si>
  <si>
    <t>Dependencies, workflows</t>
  </si>
  <si>
    <t>Continuity plans</t>
  </si>
  <si>
    <t>Plan failure, outdated plans</t>
  </si>
  <si>
    <t>F8 (integration), F6 (infra)</t>
  </si>
  <si>
    <t>Continuity coverage</t>
  </si>
  <si>
    <t>Over‑resilience cost</t>
  </si>
  <si>
    <t>Escalation &amp; De‑escalation</t>
  </si>
  <si>
    <t>Manage crisis intensity</t>
  </si>
  <si>
    <t>Thresholds, signals</t>
  </si>
  <si>
    <t>Escalation events</t>
  </si>
  <si>
    <t>Late escalation, premature de‑escalation</t>
  </si>
  <si>
    <t>F1 (delegation), F4 (feedback)</t>
  </si>
  <si>
    <t>Escalation correctness</t>
  </si>
  <si>
    <t>Panic amplification</t>
  </si>
  <si>
    <t>Resource Mobilisation</t>
  </si>
  <si>
    <t>Deploy resources efficiently</t>
  </si>
  <si>
    <t>Inventories, logistics</t>
  </si>
  <si>
    <t>Resource deployments</t>
  </si>
  <si>
    <t>Shortages, misallocation</t>
  </si>
  <si>
    <t>F6 (infra), F2 (coordination)</t>
  </si>
  <si>
    <t>Deployment speed</t>
  </si>
  <si>
    <t>Resource depletion</t>
  </si>
  <si>
    <t>Post‑Incident Review</t>
  </si>
  <si>
    <t>Learn from failures</t>
  </si>
  <si>
    <t>Logs, outcomes</t>
  </si>
  <si>
    <t>Lessons, recommendations</t>
  </si>
  <si>
    <t>Blame games, ignored lessons</t>
  </si>
  <si>
    <t>F3 (audit), F1 (oversight)</t>
  </si>
  <si>
    <t>Lesson adoption rate</t>
  </si>
  <si>
    <t>Over‑correction</t>
  </si>
  <si>
    <t>Cross‑System Synchronisation</t>
  </si>
  <si>
    <t>Align responses across systems</t>
  </si>
  <si>
    <t>Signals, dependencies</t>
  </si>
  <si>
    <t>Synchronised actions</t>
  </si>
  <si>
    <t>Desynchronisation</t>
  </si>
  <si>
    <t>F8 (integration)</t>
  </si>
  <si>
    <t>Sync accuracy</t>
  </si>
  <si>
    <t>Cascading failures</t>
  </si>
  <si>
    <t>Data Provenance &amp; Lineage</t>
  </si>
  <si>
    <t>Track where data comes from</t>
  </si>
  <si>
    <t>Raw data, metadata</t>
  </si>
  <si>
    <t>Provenance chains</t>
  </si>
  <si>
    <t>Missing lineage</t>
  </si>
  <si>
    <t>F9 (records), F10 (standards)</t>
  </si>
  <si>
    <t>Provenance completeness</t>
  </si>
  <si>
    <t>Privacy exposure</t>
  </si>
  <si>
    <t>Validation &amp; Verification</t>
  </si>
  <si>
    <t>Ensure data is correct</t>
  </si>
  <si>
    <t>Data, schemas</t>
  </si>
  <si>
    <t>Validated data</t>
  </si>
  <si>
    <t>Invalid data passing</t>
  </si>
  <si>
    <t>F5 (behaviour), F3 (audit)</t>
  </si>
  <si>
    <t>Validation accuracy</t>
  </si>
  <si>
    <t>Over‑strict validation</t>
  </si>
  <si>
    <t>Audit Trails &amp; Logging</t>
  </si>
  <si>
    <t>Record actions and changes</t>
  </si>
  <si>
    <t>Events, actions</t>
  </si>
  <si>
    <t>Logs</t>
  </si>
  <si>
    <t>Log tampering</t>
  </si>
  <si>
    <t>F1 (oversight)</t>
  </si>
  <si>
    <t>Log completeness</t>
  </si>
  <si>
    <t>Storage overhead</t>
  </si>
  <si>
    <t>Quality Assurance</t>
  </si>
  <si>
    <t>Maintain data quality</t>
  </si>
  <si>
    <t>Data, rules</t>
  </si>
  <si>
    <t>QA reports</t>
  </si>
  <si>
    <t>Quality drift</t>
  </si>
  <si>
    <t>Error rate</t>
  </si>
  <si>
    <t>Over‑cleaning</t>
  </si>
  <si>
    <t>Tamper Detection</t>
  </si>
  <si>
    <t>Detect manipulation</t>
  </si>
  <si>
    <t>Logs, hashes</t>
  </si>
  <si>
    <t>Alerts</t>
  </si>
  <si>
    <t>Undetected tampering</t>
  </si>
  <si>
    <t>F2 (risk)</t>
  </si>
  <si>
    <t>Detection rate</t>
  </si>
  <si>
    <t>False alarms</t>
  </si>
  <si>
    <t>Access Control Audit</t>
  </si>
  <si>
    <t>Ensure correct access</t>
  </si>
  <si>
    <t>Permissions, logs</t>
  </si>
  <si>
    <t>Access reports</t>
  </si>
  <si>
    <t>Privilege creep</t>
  </si>
  <si>
    <t>F9 (auth)</t>
  </si>
  <si>
    <t>Access violations</t>
  </si>
  <si>
    <t>Over‑restriction</t>
  </si>
  <si>
    <t>Data Retention &amp; Archival</t>
  </si>
  <si>
    <t>Preserve data correctly</t>
  </si>
  <si>
    <t>Records, policies</t>
  </si>
  <si>
    <t>Archives</t>
  </si>
  <si>
    <t>Loss, corruption</t>
  </si>
  <si>
    <t>F10 (standards)</t>
  </si>
  <si>
    <t>Retention compliance</t>
  </si>
  <si>
    <t>Storage cost</t>
  </si>
  <si>
    <t>Cross‑System Reconciliation</t>
  </si>
  <si>
    <t>Align data across systems</t>
  </si>
  <si>
    <t>Multiple datasets</t>
  </si>
  <si>
    <t>Reconciled data</t>
  </si>
  <si>
    <t>Inconsistency</t>
  </si>
  <si>
    <t>Reconciliation accuracy</t>
  </si>
  <si>
    <t>Forced uniformity</t>
  </si>
  <si>
    <t>Sentiment &amp; Narrative Monitoring</t>
  </si>
  <si>
    <t>Track public mood</t>
  </si>
  <si>
    <t>Media, surveys</t>
  </si>
  <si>
    <t>Sentiment signals</t>
  </si>
  <si>
    <t>Misinterpretation</t>
  </si>
  <si>
    <t>F5 (behaviour)</t>
  </si>
  <si>
    <t>Sentiment accuracy</t>
  </si>
  <si>
    <t>Manipulation</t>
  </si>
  <si>
    <t>Public Feedback Channels</t>
  </si>
  <si>
    <t>Capture public input</t>
  </si>
  <si>
    <t>Forms, calls</t>
  </si>
  <si>
    <t>Feedback data</t>
  </si>
  <si>
    <t>Low participation</t>
  </si>
  <si>
    <t>F1 (legitimacy)</t>
  </si>
  <si>
    <t>Participation rate</t>
  </si>
  <si>
    <t>Feedback overload</t>
  </si>
  <si>
    <t>Cultural Signal Tracking</t>
  </si>
  <si>
    <t>Track cultural shifts</t>
  </si>
  <si>
    <t>Trends, events</t>
  </si>
  <si>
    <t>Cultural indicators</t>
  </si>
  <si>
    <t>Bias</t>
  </si>
  <si>
    <t>F7 (ecology)</t>
  </si>
  <si>
    <t>Cultural drift</t>
  </si>
  <si>
    <t>Cultural homogenisation</t>
  </si>
  <si>
    <t>Community Engagement</t>
  </si>
  <si>
    <t>Maintain community ties</t>
  </si>
  <si>
    <t>Meetings, outreach</t>
  </si>
  <si>
    <t>Engagement reports</t>
  </si>
  <si>
    <t>Tokenism</t>
  </si>
  <si>
    <t>F4 (feedback)</t>
  </si>
  <si>
    <t>Engagement depth</t>
  </si>
  <si>
    <t>Over‑consultation</t>
  </si>
  <si>
    <t>Complaint &amp; Redress Intake</t>
  </si>
  <si>
    <t>Capture grievances</t>
  </si>
  <si>
    <t>Complaints</t>
  </si>
  <si>
    <t>Cases</t>
  </si>
  <si>
    <t>Backlogs</t>
  </si>
  <si>
    <t>F1 (redress)</t>
  </si>
  <si>
    <t>Resolution time</t>
  </si>
  <si>
    <t>Trust &amp; Legitimacy Monitoring</t>
  </si>
  <si>
    <t>Track trust levels</t>
  </si>
  <si>
    <t>Sentiment, behaviour</t>
  </si>
  <si>
    <t>Trust reports</t>
  </si>
  <si>
    <t>Misreading trust</t>
  </si>
  <si>
    <t>Trust index</t>
  </si>
  <si>
    <t>Trust manipulation</t>
  </si>
  <si>
    <t>Public Information &amp; Communication</t>
  </si>
  <si>
    <t>Communicate clearly</t>
  </si>
  <si>
    <t>Data, decisions</t>
  </si>
  <si>
    <t>Public messages</t>
  </si>
  <si>
    <t>Misinformation</t>
  </si>
  <si>
    <t>Clarity score</t>
  </si>
  <si>
    <t>Over‑communication</t>
  </si>
  <si>
    <t>Cultural Impact Assessment</t>
  </si>
  <si>
    <t>Assess cultural effects</t>
  </si>
  <si>
    <t>Policies, actions</t>
  </si>
  <si>
    <t>Impact reports</t>
  </si>
  <si>
    <t>Blind spots</t>
  </si>
  <si>
    <t>Impact accuracy</t>
  </si>
  <si>
    <t>Cultural distortion</t>
  </si>
  <si>
    <t>Behavioural Modelling</t>
  </si>
  <si>
    <t>Predict behaviour</t>
  </si>
  <si>
    <t>Data, signals</t>
  </si>
  <si>
    <t>Models</t>
  </si>
  <si>
    <t>Wrong predictions</t>
  </si>
  <si>
    <t>F3 (data)</t>
  </si>
  <si>
    <t>Model accuracy</t>
  </si>
  <si>
    <t>Behavioural stereotyping</t>
  </si>
  <si>
    <t>Incentive Design</t>
  </si>
  <si>
    <t>Shape behaviour</t>
  </si>
  <si>
    <t>Goals, models</t>
  </si>
  <si>
    <t>Incentives</t>
  </si>
  <si>
    <t>Perverse incentives</t>
  </si>
  <si>
    <t>F1 (governance)</t>
  </si>
  <si>
    <t>Incentive effectiveness</t>
  </si>
  <si>
    <t>Gaming</t>
  </si>
  <si>
    <t>Influence Mapping</t>
  </si>
  <si>
    <t>Map influence flows</t>
  </si>
  <si>
    <t>Networks, data</t>
  </si>
  <si>
    <t>Influence maps</t>
  </si>
  <si>
    <t>Misidentification</t>
  </si>
  <si>
    <t>F4 (culture)</t>
  </si>
  <si>
    <t>Influence accuracy</t>
  </si>
  <si>
    <t>Stigmatisation</t>
  </si>
  <si>
    <t>Motivation &amp; Compliance</t>
  </si>
  <si>
    <t>Maintain compliance</t>
  </si>
  <si>
    <t>Rules, incentives</t>
  </si>
  <si>
    <t>Compliance signals</t>
  </si>
  <si>
    <t>Non‑compliance</t>
  </si>
  <si>
    <t>Compliance rate</t>
  </si>
  <si>
    <t>Over‑policing</t>
  </si>
  <si>
    <t>Perverse Incentive Detection</t>
  </si>
  <si>
    <t>Detect harmful incentives</t>
  </si>
  <si>
    <t>Behaviour data</t>
  </si>
  <si>
    <t>Missed incentives</t>
  </si>
  <si>
    <t>False positives</t>
  </si>
  <si>
    <t>Behavioural Impact Assessment</t>
  </si>
  <si>
    <t>Evaluate interventions</t>
  </si>
  <si>
    <t>Data, models</t>
  </si>
  <si>
    <t>Misattribution</t>
  </si>
  <si>
    <t>Over‑attribution</t>
  </si>
  <si>
    <t>Feedback Loop Design</t>
  </si>
  <si>
    <t>Create adaptive loops</t>
  </si>
  <si>
    <t>Signals, incentives</t>
  </si>
  <si>
    <t>Loops</t>
  </si>
  <si>
    <t>Instability</t>
  </si>
  <si>
    <t>Loop stability</t>
  </si>
  <si>
    <t>Over‑tight coupling</t>
  </si>
  <si>
    <t>Behavioural Risk Monitoring</t>
  </si>
  <si>
    <t>Track behavioural risks</t>
  </si>
  <si>
    <t>Signals, models</t>
  </si>
  <si>
    <t>Risk alerts</t>
  </si>
  <si>
    <t>Risk detection</t>
  </si>
  <si>
    <t>Behavioural panic</t>
  </si>
  <si>
    <t>Energy Systems</t>
  </si>
  <si>
    <t>Provide energy</t>
  </si>
  <si>
    <t>Fuel, grid data</t>
  </si>
  <si>
    <t>Power</t>
  </si>
  <si>
    <t>Outages</t>
  </si>
  <si>
    <t>Uptime</t>
  </si>
  <si>
    <t>Emissions</t>
  </si>
  <si>
    <t>Water &amp; Waste Systems</t>
  </si>
  <si>
    <t>Provide water, manage waste</t>
  </si>
  <si>
    <t>Water, waste</t>
  </si>
  <si>
    <t>Clean water, disposal</t>
  </si>
  <si>
    <t>Contamination</t>
  </si>
  <si>
    <t>Quality index</t>
  </si>
  <si>
    <t>Pollution</t>
  </si>
  <si>
    <t>Transport &amp; Logistics</t>
  </si>
  <si>
    <t>Move people &amp; goods</t>
  </si>
  <si>
    <t>Vehicles, routes</t>
  </si>
  <si>
    <t>Transport</t>
  </si>
  <si>
    <t>Congestion</t>
  </si>
  <si>
    <t>Throughput</t>
  </si>
  <si>
    <t>Digital Infrastructure</t>
  </si>
  <si>
    <t>Provide connectivity</t>
  </si>
  <si>
    <t>Networks</t>
  </si>
  <si>
    <t>Connectivity</t>
  </si>
  <si>
    <t>F9 (protocols)</t>
  </si>
  <si>
    <t>Latency</t>
  </si>
  <si>
    <t>Surveillance</t>
  </si>
  <si>
    <t>Material Supply Chains</t>
  </si>
  <si>
    <t>Provide materials</t>
  </si>
  <si>
    <t>Suppliers</t>
  </si>
  <si>
    <t>Materials</t>
  </si>
  <si>
    <t>Shortages</t>
  </si>
  <si>
    <t>Supply stability</t>
  </si>
  <si>
    <t>Facilities &amp; Asset Management</t>
  </si>
  <si>
    <t>Manage buildings</t>
  </si>
  <si>
    <t>Assets</t>
  </si>
  <si>
    <t>Facilities</t>
  </si>
  <si>
    <t>Decay</t>
  </si>
  <si>
    <t>F6 (infra)</t>
  </si>
  <si>
    <t>Maintenance score</t>
  </si>
  <si>
    <t>Over‑building</t>
  </si>
  <si>
    <t>Maintenance &amp; Lifecycle Planning</t>
  </si>
  <si>
    <t>Maintain assets</t>
  </si>
  <si>
    <t>Schedules</t>
  </si>
  <si>
    <t>Maintenance</t>
  </si>
  <si>
    <t>Failure</t>
  </si>
  <si>
    <t>Failure rate</t>
  </si>
  <si>
    <t>Over‑maintenance</t>
  </si>
  <si>
    <t>Infrastructure Resilience</t>
  </si>
  <si>
    <t>Ensure robustness</t>
  </si>
  <si>
    <t>Stress tests</t>
  </si>
  <si>
    <t>Resilience plans</t>
  </si>
  <si>
    <t>Collapse</t>
  </si>
  <si>
    <t>Resilience index</t>
  </si>
  <si>
    <t>Over‑redundancy</t>
  </si>
  <si>
    <t>Climate Monitoring</t>
  </si>
  <si>
    <t>Track climate</t>
  </si>
  <si>
    <t>Sensors</t>
  </si>
  <si>
    <t>Climate signals</t>
  </si>
  <si>
    <t>Accuracy</t>
  </si>
  <si>
    <t>Biodiversity Health</t>
  </si>
  <si>
    <t>Track ecosystems</t>
  </si>
  <si>
    <t>Surveys</t>
  </si>
  <si>
    <t>Biodiversity index</t>
  </si>
  <si>
    <t>Miscounts</t>
  </si>
  <si>
    <t>Species index</t>
  </si>
  <si>
    <t>Over‑intervention</t>
  </si>
  <si>
    <t>Pollution Tracking</t>
  </si>
  <si>
    <t>Track pollutants</t>
  </si>
  <si>
    <t>Pollution maps</t>
  </si>
  <si>
    <t>Missed pollution</t>
  </si>
  <si>
    <t>Pollution levels</t>
  </si>
  <si>
    <t>Panic</t>
  </si>
  <si>
    <t>Land &amp; Water Stewardship</t>
  </si>
  <si>
    <t>Manage land/water</t>
  </si>
  <si>
    <t>Maps</t>
  </si>
  <si>
    <t>Stewardship plans</t>
  </si>
  <si>
    <t>Mismanagement</t>
  </si>
  <si>
    <t>Stewardship score</t>
  </si>
  <si>
    <t>Displacement</t>
  </si>
  <si>
    <t>Regeneration Systems</t>
  </si>
  <si>
    <t>Restore ecosystems</t>
  </si>
  <si>
    <t>Data</t>
  </si>
  <si>
    <t>Regeneration plans</t>
  </si>
  <si>
    <t>Regeneration rate</t>
  </si>
  <si>
    <t>Over‑restoration</t>
  </si>
  <si>
    <t>Ecological Risk Assessment</t>
  </si>
  <si>
    <t>Assess ecological risks</t>
  </si>
  <si>
    <t>Risk reports</t>
  </si>
  <si>
    <t>Mis‑ranking</t>
  </si>
  <si>
    <t>Risk accuracy</t>
  </si>
  <si>
    <t>Over‑caution</t>
  </si>
  <si>
    <t>Planetary Boundary Compliance</t>
  </si>
  <si>
    <t>Track boundary use</t>
  </si>
  <si>
    <t>Indicators</t>
  </si>
  <si>
    <t>Compliance reports</t>
  </si>
  <si>
    <t>Boundary breach</t>
  </si>
  <si>
    <t>Boundary index</t>
  </si>
  <si>
    <t>Restrictive policies</t>
  </si>
  <si>
    <t>Environmental Externality Mapping</t>
  </si>
  <si>
    <t>Map externalities</t>
  </si>
  <si>
    <t>Externality maps</t>
  </si>
  <si>
    <t>Externality accuracy</t>
  </si>
  <si>
    <t>Dependency Mapping</t>
  </si>
  <si>
    <t>Map dependencies</t>
  </si>
  <si>
    <t>Workflows</t>
  </si>
  <si>
    <t>Dependency graphs</t>
  </si>
  <si>
    <t>Missing links</t>
  </si>
  <si>
    <t>All Families</t>
  </si>
  <si>
    <t>Graph completeness</t>
  </si>
  <si>
    <t>Over‑mapping</t>
  </si>
  <si>
    <t>Cross‑Family Workflow Integration</t>
  </si>
  <si>
    <t>Integrate workflows</t>
  </si>
  <si>
    <t>Processes</t>
  </si>
  <si>
    <t>Integrated flows</t>
  </si>
  <si>
    <t>Breaks</t>
  </si>
  <si>
    <t>F1–F10</t>
  </si>
  <si>
    <t>Integration score</t>
  </si>
  <si>
    <t>Over‑coupling</t>
  </si>
  <si>
    <t>Externality Propagation</t>
  </si>
  <si>
    <t>Track externalities</t>
  </si>
  <si>
    <t>Signals</t>
  </si>
  <si>
    <t>Propagation maps</t>
  </si>
  <si>
    <t>Missed propagation</t>
  </si>
  <si>
    <t>Propagation accuracy</t>
  </si>
  <si>
    <t>Systemic Health Monitoring</t>
  </si>
  <si>
    <t>Monitor system health</t>
  </si>
  <si>
    <t>Health index</t>
  </si>
  <si>
    <t>Health accuracy</t>
  </si>
  <si>
    <t>Over‑reaction</t>
  </si>
  <si>
    <t>Interoperability Management</t>
  </si>
  <si>
    <t>Ensure interoperability</t>
  </si>
  <si>
    <t>Standards</t>
  </si>
  <si>
    <t>Interop reports</t>
  </si>
  <si>
    <t>Incompatibility</t>
  </si>
  <si>
    <t>Interop score</t>
  </si>
  <si>
    <t>Over‑standardisation</t>
  </si>
  <si>
    <t>Integration Failure Detection</t>
  </si>
  <si>
    <t>Detect integration failures</t>
  </si>
  <si>
    <t>Missed failures</t>
  </si>
  <si>
    <t>F3 (audit)</t>
  </si>
  <si>
    <t>Cross‑System Coordination</t>
  </si>
  <si>
    <t>Coordinate systems</t>
  </si>
  <si>
    <t>Coordination events</t>
  </si>
  <si>
    <t>Mis‑coordination</t>
  </si>
  <si>
    <t>Coordination score</t>
  </si>
  <si>
    <t>Over‑coordination</t>
  </si>
  <si>
    <t>System‑of‑Systems Governance</t>
  </si>
  <si>
    <t>Govern the whole system</t>
  </si>
  <si>
    <t>All inputs</t>
  </si>
  <si>
    <t>Governance signals</t>
  </si>
  <si>
    <t>Overreach</t>
  </si>
  <si>
    <t>Governance clarity</t>
  </si>
  <si>
    <t>Centralisation</t>
  </si>
  <si>
    <t>Identity &amp; Authentication</t>
  </si>
  <si>
    <t>Identify actors</t>
  </si>
  <si>
    <t>Credentials</t>
  </si>
  <si>
    <t>Auth events</t>
  </si>
  <si>
    <t>Identity theft</t>
  </si>
  <si>
    <t>Auth accuracy</t>
  </si>
  <si>
    <t>Exclusion</t>
  </si>
  <si>
    <t>Messaging Protocols</t>
  </si>
  <si>
    <t>Enable communication</t>
  </si>
  <si>
    <t>Messages</t>
  </si>
  <si>
    <t>Delivered messages</t>
  </si>
  <si>
    <t>Loss</t>
  </si>
  <si>
    <t>Delivery rate</t>
  </si>
  <si>
    <t>Noise</t>
  </si>
  <si>
    <t>Core Records &amp; Registries</t>
  </si>
  <si>
    <t>Maintain records</t>
  </si>
  <si>
    <t>Records</t>
  </si>
  <si>
    <t>Corruption</t>
  </si>
  <si>
    <t>Record integrity</t>
  </si>
  <si>
    <t>Privacy</t>
  </si>
  <si>
    <t>Authorisation &amp; Access Control</t>
  </si>
  <si>
    <t>Control access</t>
  </si>
  <si>
    <t>Roles</t>
  </si>
  <si>
    <t>Access events</t>
  </si>
  <si>
    <t>F1 (roles)</t>
  </si>
  <si>
    <t>Foundational Data Schemas</t>
  </si>
  <si>
    <t>Define schemas</t>
  </si>
  <si>
    <t>Schemas</t>
  </si>
  <si>
    <t>Schema drift</t>
  </si>
  <si>
    <t>Schema compliance</t>
  </si>
  <si>
    <t>Rigidity</t>
  </si>
  <si>
    <t>Time &amp; Addressing</t>
  </si>
  <si>
    <t>Provide time/address</t>
  </si>
  <si>
    <t>Clocks</t>
  </si>
  <si>
    <t>Timestamps</t>
  </si>
  <si>
    <t>Drift</t>
  </si>
  <si>
    <t>Time accuracy</t>
  </si>
  <si>
    <t>Over‑precision</t>
  </si>
  <si>
    <t>Core Interoperability Protocols</t>
  </si>
  <si>
    <t>Enable interop</t>
  </si>
  <si>
    <t>Protocols</t>
  </si>
  <si>
    <t>Breakage</t>
  </si>
  <si>
    <t>Protocol uptime</t>
  </si>
  <si>
    <t>Foundational Compliance</t>
  </si>
  <si>
    <t>Ensure safety</t>
  </si>
  <si>
    <t>Rules</t>
  </si>
  <si>
    <t>Over‑compliance</t>
  </si>
  <si>
    <t>Standards Development</t>
  </si>
  <si>
    <t>Create standards</t>
  </si>
  <si>
    <t>Proposals</t>
  </si>
  <si>
    <t>Drafts</t>
  </si>
  <si>
    <t>Capture</t>
  </si>
  <si>
    <t>Draft quality</t>
  </si>
  <si>
    <t>Versioning &amp; Change Control</t>
  </si>
  <si>
    <t>Manage versions</t>
  </si>
  <si>
    <t>Changes</t>
  </si>
  <si>
    <t>Versions</t>
  </si>
  <si>
    <t>Version clarity</t>
  </si>
  <si>
    <t>Update fatigue</t>
  </si>
  <si>
    <t>Cross‑Standard Harmonisation</t>
  </si>
  <si>
    <t>Align standards</t>
  </si>
  <si>
    <t>Harmonised sets</t>
  </si>
  <si>
    <t>Conflict</t>
  </si>
  <si>
    <t>Harmony score</t>
  </si>
  <si>
    <t>Over‑alignment</t>
  </si>
  <si>
    <t>Compliance &amp; Certification</t>
  </si>
  <si>
    <t>Certify compliance</t>
  </si>
  <si>
    <t>Tests</t>
  </si>
  <si>
    <t>Certificates</t>
  </si>
  <si>
    <t>False certs</t>
  </si>
  <si>
    <t>Cert accuracy</t>
  </si>
  <si>
    <t>Compliance burden</t>
  </si>
  <si>
    <t>Reference Implementations</t>
  </si>
  <si>
    <t>Provide examples</t>
  </si>
  <si>
    <t>RIs</t>
  </si>
  <si>
    <t>Over‑complexity</t>
  </si>
  <si>
    <t>RI minimalism</t>
  </si>
  <si>
    <t>De‑facto capture</t>
  </si>
  <si>
    <t>Registries &amp; Canonical Records</t>
  </si>
  <si>
    <t>Store standards</t>
  </si>
  <si>
    <t>Registries</t>
  </si>
  <si>
    <t>Registry integrity</t>
  </si>
  <si>
    <t>Public Reasoning &amp; Transparency</t>
  </si>
  <si>
    <t>Publish reasoning</t>
  </si>
  <si>
    <t>Reasoning</t>
  </si>
  <si>
    <t>Opaqueness</t>
  </si>
  <si>
    <t>Transparency score</t>
  </si>
  <si>
    <t>Over‑exposure</t>
  </si>
  <si>
    <t>Anti‑Capture Safeguards</t>
  </si>
  <si>
    <t>Prevent capture</t>
  </si>
  <si>
    <t>Safeguards</t>
  </si>
  <si>
    <t>Capture risk</t>
  </si>
  <si>
    <t>Over‑constraints</t>
  </si>
  <si>
    <t>F1 – Governance &amp; Oversight</t>
  </si>
  <si>
    <t>F2 – Risk &amp; Coordination</t>
  </si>
  <si>
    <t>F3 – Data Integrity &amp; Audit</t>
  </si>
  <si>
    <t>F4 – Civic Feedback &amp; Cultural</t>
  </si>
  <si>
    <t>F5 – Incentives &amp; Behavioural</t>
  </si>
  <si>
    <t>F6 – Resource &amp; Infrastructure</t>
  </si>
  <si>
    <t>F7 – Planetary &amp; Ecological</t>
  </si>
  <si>
    <t>F8 – Meta‑Integration</t>
  </si>
  <si>
    <t>F9 – Minimum Viable Systems</t>
  </si>
  <si>
    <t>F10 –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</si>
</sst>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1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>
          <bgColor rgb="FF993300"/>
        </patternFill>
      </fill>
    </dxf>
    <dxf>
      <fill>
        <patternFill>
          <bgColor rgb="FFCC9900"/>
        </patternFill>
      </fill>
    </dxf>
    <dxf>
      <fill>
        <patternFill>
          <bgColor rgb="FF6D4C41"/>
        </patternFill>
      </fill>
    </dxf>
    <dxf>
      <fill>
        <patternFill>
          <bgColor theme="5" tint="-0.499984740745262"/>
        </patternFill>
      </fill>
    </dxf>
  </dxfs>
  <tableStyles count="2" defaultTableStyle="TableStyleMedium2" defaultPivotStyle="PivotStyleLight16">
    <tableStyle name="Table Style 1" pivot="0" count="1" xr9:uid="{D3ED3424-4750-4699-A28C-B938AD9D0CD6}">
      <tableStyleElement type="firstColumnStripe" dxfId="118"/>
    </tableStyle>
    <tableStyle name="Table Style 2" pivot="0" count="3" xr9:uid="{91DC5239-2ED4-4A89-B111-7BD809674AD5}">
      <tableStyleElement type="headerRow" dxfId="117"/>
      <tableStyleElement type="firstRowStripe" dxfId="116"/>
      <tableStyleElement type="secondRowStripe" dxfId="115"/>
    </tableStyle>
  </tableStyles>
  <colors>
    <mruColors>
      <color rgb="FF993300"/>
      <color rgb="FFCC9900"/>
      <color rgb="FF6D4C41"/>
      <color rgb="FF8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7C9394-3A08-43A4-A466-7F9EEE7C34B0}" name="Table2" displayName="Table2" ref="A1:H9" totalsRowShown="0" headerRowDxfId="102" dataDxfId="101">
  <autoFilter ref="A1:H9" xr:uid="{EB7C9394-3A08-43A4-A466-7F9EEE7C34B0}"/>
  <tableColumns count="8">
    <tableColumn id="1" xr3:uid="{EBEB4E62-811B-4787-8D4E-062C17CA1B3D}" name="Subsystem" dataDxfId="100"/>
    <tableColumn id="2" xr3:uid="{5FF5EF7F-D1AE-4A2A-92EB-76CB4C007762}" name="Purpose" dataDxfId="99"/>
    <tableColumn id="3" xr3:uid="{BE17639B-D243-4A6C-AA27-94D869964D57}" name="Inputs" dataDxfId="98"/>
    <tableColumn id="4" xr3:uid="{554C29FE-C7B4-41CE-A70F-CC046B0A8C07}" name="Outputs" dataDxfId="97"/>
    <tableColumn id="5" xr3:uid="{021A654F-0026-47EF-96A8-D5A4F6DD73AD}" name="Risks" dataDxfId="96"/>
    <tableColumn id="6" xr3:uid="{2B786668-7C14-45A3-88FD-70534AAE7806}" name="Interfaces" dataDxfId="95"/>
    <tableColumn id="7" xr3:uid="{41AE7DE7-431C-4188-901D-79D2C020BCC6}" name="Metrics" dataDxfId="94"/>
    <tableColumn id="8" xr3:uid="{337A4603-24A6-44BE-890F-A8C17E653C05}" name="Externalities" dataDxfId="93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945300-95BE-4C9A-99BA-EB4F98CA1FBF}" name="Table3" displayName="Table3" ref="A1:H9" totalsRowShown="0" headerRowDxfId="92" dataDxfId="91">
  <autoFilter ref="A1:H9" xr:uid="{35945300-95BE-4C9A-99BA-EB4F98CA1FBF}"/>
  <tableColumns count="8">
    <tableColumn id="1" xr3:uid="{BEEC7B92-2590-4667-8CF4-7B6A2C28D984}" name="Subsystem" dataDxfId="90"/>
    <tableColumn id="2" xr3:uid="{8BE7F7C8-4D7C-41D4-90D3-C2C1ED9D2BEA}" name="Purpose" dataDxfId="89"/>
    <tableColumn id="3" xr3:uid="{EB3EC786-791D-4F58-BCA5-E7E3940A1D4B}" name="Inputs" dataDxfId="88"/>
    <tableColumn id="4" xr3:uid="{469CE1FA-E524-45DE-860D-9BA82BF75AB5}" name="Outputs" dataDxfId="87"/>
    <tableColumn id="5" xr3:uid="{00EA58D3-A05A-4DAE-AE8F-0B423FB8B7F7}" name="Risks" dataDxfId="86"/>
    <tableColumn id="6" xr3:uid="{C4A5B480-439B-4493-AC4B-EF4752A60EC3}" name="Interfaces" dataDxfId="85"/>
    <tableColumn id="7" xr3:uid="{BD683EEC-10B8-44F6-96DA-B5DF763A474F}" name="Metrics" dataDxfId="84"/>
    <tableColumn id="8" xr3:uid="{5B08A645-F7DC-4B19-9529-5BD47C8796D8}" name="Externalities" dataDxfId="83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82D94A-D180-4FBD-8CCE-32F23EA00B61}" name="Table4" displayName="Table4" ref="A1:H9" totalsRowShown="0" headerRowDxfId="82" dataDxfId="81">
  <autoFilter ref="A1:H9" xr:uid="{AE82D94A-D180-4FBD-8CCE-32F23EA00B61}"/>
  <tableColumns count="8">
    <tableColumn id="1" xr3:uid="{C87134D3-1897-4323-AA7E-216A2D74369E}" name="Subsystem" dataDxfId="80"/>
    <tableColumn id="2" xr3:uid="{14D3C76B-1AE0-48AF-92F6-7F7024341FC0}" name="Purpose" dataDxfId="79"/>
    <tableColumn id="3" xr3:uid="{38262123-7EF3-47DF-8311-4AA4633D78F0}" name="Inputs" dataDxfId="78"/>
    <tableColumn id="4" xr3:uid="{A33D0FC3-AD5F-422D-A434-9574FACC832D}" name="Outputs" dataDxfId="77"/>
    <tableColumn id="5" xr3:uid="{F0566C6F-86B9-4E60-8EB1-475622E9124F}" name="Risks" dataDxfId="76"/>
    <tableColumn id="6" xr3:uid="{5B6283F6-073D-4A55-9703-627F33629530}" name="Interfaces" dataDxfId="75"/>
    <tableColumn id="7" xr3:uid="{AC1ED998-120A-4226-BC32-C57172C8F292}" name="Metrics" dataDxfId="74"/>
    <tableColumn id="8" xr3:uid="{5466F0FD-D82D-4C60-95A8-67D783AF4855}" name="Externalities" dataDxfId="7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C68616-B9D8-405A-B67F-8ABF871BDC72}" name="Table5" displayName="Table5" ref="A1:H9" totalsRowShown="0" headerRowDxfId="72" dataDxfId="71">
  <autoFilter ref="A1:H9" xr:uid="{76C68616-B9D8-405A-B67F-8ABF871BDC72}"/>
  <tableColumns count="8">
    <tableColumn id="1" xr3:uid="{D3EDFF1B-F39D-4071-8287-2CE81857535C}" name="Subsystem" dataDxfId="70"/>
    <tableColumn id="2" xr3:uid="{29C40686-681E-49A5-BB3E-56A181937F21}" name="Purpose" dataDxfId="69"/>
    <tableColumn id="3" xr3:uid="{6748C67E-02CF-49DE-9843-628D8B894501}" name="Inputs" dataDxfId="68"/>
    <tableColumn id="4" xr3:uid="{DA018DAB-2334-485C-9C1F-69E9260306CC}" name="Outputs" dataDxfId="67"/>
    <tableColumn id="5" xr3:uid="{89DBCC5D-8490-4E8A-A9F9-71786B6F217F}" name="Risks" dataDxfId="66"/>
    <tableColumn id="6" xr3:uid="{299584C8-E3FF-4756-925A-7DE47E989738}" name="Interfaces" dataDxfId="65"/>
    <tableColumn id="7" xr3:uid="{DC95C5FC-5705-4AB4-B0A8-F08E980F550B}" name="Metrics" dataDxfId="64"/>
    <tableColumn id="8" xr3:uid="{C14DB140-27A9-442B-BD9E-8CA04F88D493}" name="Externalities" dataDxfId="63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6F8D2D-E674-48E1-8695-C087369A7397}" name="Table6" displayName="Table6" ref="A1:H9" totalsRowShown="0" headerRowDxfId="62" dataDxfId="61">
  <autoFilter ref="A1:H9" xr:uid="{906F8D2D-E674-48E1-8695-C087369A7397}"/>
  <tableColumns count="8">
    <tableColumn id="1" xr3:uid="{1D3D1F9B-8831-4A02-AFC6-A8A6F8D5C435}" name="Subsystem" dataDxfId="60"/>
    <tableColumn id="2" xr3:uid="{52DF5FC8-748B-4B3A-BE50-467E9ED51F19}" name="Purpose" dataDxfId="59"/>
    <tableColumn id="3" xr3:uid="{2071BCF6-1BCC-4BAA-9AF7-2E54BEE3C269}" name="Inputs" dataDxfId="58"/>
    <tableColumn id="4" xr3:uid="{B337D93B-D84C-4335-99C8-D1ABBC3EA58C}" name="Outputs" dataDxfId="57"/>
    <tableColumn id="5" xr3:uid="{0182A8D6-DA74-429E-AE44-FFBB8DFA1B3F}" name="Risks" dataDxfId="56"/>
    <tableColumn id="6" xr3:uid="{4CC7CDE7-07AC-494D-8320-A44CD4F2B4C0}" name="Interfaces" dataDxfId="55"/>
    <tableColumn id="7" xr3:uid="{24D9A7DB-844E-4ADD-978E-1AD87EE5C8F4}" name="Metrics" dataDxfId="54"/>
    <tableColumn id="8" xr3:uid="{732310AA-158C-438C-BF5F-7D04C4005D86}" name="Externalities" dataDxfId="53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1A99DB-2888-4458-8721-ECF3843DEDEA}" name="Table7" displayName="Table7" ref="A1:H9" totalsRowShown="0" headerRowDxfId="52" dataDxfId="50" headerRowBorderDxfId="51" tableBorderDxfId="49" totalsRowBorderDxfId="48">
  <autoFilter ref="A1:H9" xr:uid="{541A99DB-2888-4458-8721-ECF3843DEDEA}"/>
  <tableColumns count="8">
    <tableColumn id="1" xr3:uid="{F35B35F5-331B-4995-AFD7-09047033D9B6}" name="Subsystem" dataDxfId="47"/>
    <tableColumn id="2" xr3:uid="{AC5FF9D1-3FE8-439E-9E7E-8CBAF5AAE78A}" name="Purpose" dataDxfId="46"/>
    <tableColumn id="3" xr3:uid="{42C6DB3E-ACE2-44DC-B503-856551A693E5}" name="Inputs" dataDxfId="45"/>
    <tableColumn id="4" xr3:uid="{77076DDA-C433-476B-AE5F-F8F9CE6094F4}" name="Outputs" dataDxfId="44"/>
    <tableColumn id="5" xr3:uid="{DE036411-EB6C-42E4-A8C2-56FA4FD7B134}" name="Risks" dataDxfId="43"/>
    <tableColumn id="6" xr3:uid="{89F5EE16-914E-4061-B5B1-7A2D3DC53848}" name="Interfaces" dataDxfId="42"/>
    <tableColumn id="7" xr3:uid="{8421139C-897F-4D03-9DDC-16CD2B24B01D}" name="Metrics" dataDxfId="41"/>
    <tableColumn id="8" xr3:uid="{0032639D-5C62-4927-8D0F-6B6F9F2CA338}" name="Externalities" dataDxfId="40"/>
  </tableColumns>
  <tableStyleInfo name="Table Style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6F9BCA-36D6-4F7A-9043-51A380B513E2}" name="Table8" displayName="Table8" ref="A1:H9" totalsRowShown="0" headerRowDxfId="39" dataDxfId="38">
  <autoFilter ref="A1:H9" xr:uid="{F56F9BCA-36D6-4F7A-9043-51A380B513E2}"/>
  <tableColumns count="8">
    <tableColumn id="1" xr3:uid="{6ECB0625-0332-43E7-9A20-CEC367866162}" name="Subsystem" dataDxfId="37"/>
    <tableColumn id="2" xr3:uid="{09AE04CE-AEA9-4CEA-8210-53EF797E978F}" name="Purpose" dataDxfId="36"/>
    <tableColumn id="3" xr3:uid="{1729CB47-68A5-40BE-B8F8-58DD623C2A67}" name="Inputs" dataDxfId="35"/>
    <tableColumn id="4" xr3:uid="{AC073E7D-55D6-42B6-88EE-DCF6B2C9441A}" name="Outputs" dataDxfId="34"/>
    <tableColumn id="5" xr3:uid="{56D24B1D-6D34-4606-806A-97581145E78D}" name="Risks" dataDxfId="33"/>
    <tableColumn id="6" xr3:uid="{30E2E195-1D4C-40B3-9160-B0F956F2040F}" name="Interfaces" dataDxfId="32"/>
    <tableColumn id="7" xr3:uid="{5D94ACC8-F463-46A8-9932-E451D2713EB6}" name="Metrics" dataDxfId="31"/>
    <tableColumn id="8" xr3:uid="{5FC70458-6C25-43DF-843B-8C6DC7B6C5F9}" name="Externalities" dataDxfId="30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5769D05-7C2A-4942-8988-33C9CDF1D2DF}" name="Table9" displayName="Table9" ref="A1:H9" totalsRowShown="0" headerRowDxfId="29" dataDxfId="28">
  <autoFilter ref="A1:H9" xr:uid="{E5769D05-7C2A-4942-8988-33C9CDF1D2DF}"/>
  <tableColumns count="8">
    <tableColumn id="1" xr3:uid="{99E86C8E-620B-40EE-8FEA-9470E288E1D9}" name="Subsystem" dataDxfId="27"/>
    <tableColumn id="2" xr3:uid="{8936B76E-A83A-46D5-AC5C-C6A92EB5D4A0}" name="Purpose" dataDxfId="26"/>
    <tableColumn id="3" xr3:uid="{CB26303B-3F1B-4EEB-8AB4-97D3A8C180D1}" name="Inputs" dataDxfId="25"/>
    <tableColumn id="4" xr3:uid="{DEE7863B-0511-44C8-B957-356AD4A63140}" name="Outputs" dataDxfId="24"/>
    <tableColumn id="5" xr3:uid="{D3638B69-E5ED-4E61-9A74-FA88C85F3C4F}" name="Risks" dataDxfId="23"/>
    <tableColumn id="6" xr3:uid="{FCE3CE72-4CD7-4A84-BF9C-AC1697C2733F}" name="Interfaces" dataDxfId="22"/>
    <tableColumn id="7" xr3:uid="{8A153A02-8613-4439-8667-5D4DA26851F7}" name="Metrics" dataDxfId="21"/>
    <tableColumn id="8" xr3:uid="{B9C622FF-E840-4BB7-B8AA-6D5CDFF44FDB}" name="Externalities" dataDxfId="20"/>
  </tableColumns>
  <tableStyleInfo name="TableStyleDark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EF57A2-7298-41B9-B119-2C191AF2D0B6}" name="Table10" displayName="Table10" ref="A1:H9" totalsRowShown="0" headerRowDxfId="19" dataDxfId="18">
  <autoFilter ref="A1:H9" xr:uid="{C8EF57A2-7298-41B9-B119-2C191AF2D0B6}"/>
  <tableColumns count="8">
    <tableColumn id="1" xr3:uid="{39382527-8274-480B-B722-4291D2172865}" name="Subsystem" dataDxfId="17"/>
    <tableColumn id="2" xr3:uid="{07ACD82C-B67C-4E4F-A25E-3C801FA03EB9}" name="Purpose" dataDxfId="16"/>
    <tableColumn id="3" xr3:uid="{438C03CE-A622-4E06-8AA7-ED5EA27ED2AE}" name="Inputs" dataDxfId="15"/>
    <tableColumn id="4" xr3:uid="{C0A77477-DFD2-455F-A5F0-AB17366995E1}" name="Outputs" dataDxfId="14"/>
    <tableColumn id="5" xr3:uid="{8D6A98A8-1C0E-49EC-9143-1CAC6067AC5B}" name="Risks" dataDxfId="13"/>
    <tableColumn id="6" xr3:uid="{2525375C-58BB-4E79-A92F-C9EAAC12BB6B}" name="Interfaces" dataDxfId="12"/>
    <tableColumn id="7" xr3:uid="{37A7A4EF-D77C-44F2-84FE-1C7E87F078CA}" name="Metrics" dataDxfId="11"/>
    <tableColumn id="8" xr3:uid="{4B0BCC91-AF6A-48E9-846B-CEDF9EA3A378}" name="Externalities" dataDxfId="10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B8D8D45-5F81-4CFA-8DA7-FEB489D59676}" name="Table11" displayName="Table11" ref="A1:H9" totalsRowShown="0" headerRowDxfId="9" dataDxfId="8">
  <autoFilter ref="A1:H9" xr:uid="{3B8D8D45-5F81-4CFA-8DA7-FEB489D59676}"/>
  <tableColumns count="8">
    <tableColumn id="1" xr3:uid="{182E2E0A-C2E6-4B3C-B09C-2A65952934CC}" name="Subsystem" dataDxfId="7"/>
    <tableColumn id="2" xr3:uid="{AFBE3654-1472-47AE-A19B-02777A218643}" name="Purpose" dataDxfId="6"/>
    <tableColumn id="3" xr3:uid="{8492C0EE-C1EE-4BFD-BF0F-062EB3A2DED1}" name="Inputs" dataDxfId="5"/>
    <tableColumn id="4" xr3:uid="{E018D537-2C55-416F-A687-A1B90134DD6E}" name="Outputs" dataDxfId="4"/>
    <tableColumn id="5" xr3:uid="{2C0D3887-15CA-4305-8578-B844FD878346}" name="Risks" dataDxfId="3"/>
    <tableColumn id="6" xr3:uid="{B26846A8-BEFE-4172-979C-F7CFE7AEB859}" name="Interfaces" dataDxfId="2"/>
    <tableColumn id="7" xr3:uid="{0EFB1419-04C3-4871-9C2F-F56D76413588}" name="Metrics" dataDxfId="1"/>
    <tableColumn id="8" xr3:uid="{C62C922D-512B-4B14-BE54-8D3939804E7E}" name="Externalities" dataDxfId="0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5F468-3814-4402-9523-EB788632DD64}" name="Table1" displayName="Table1" ref="A1:C3" totalsRowShown="0" headerRowDxfId="103">
  <autoFilter ref="A1:C3" xr:uid="{A8B5F468-3814-4402-9523-EB788632DD64}"/>
  <tableColumns count="3">
    <tableColumn id="1" xr3:uid="{76F3C260-0680-427A-99E7-21E88B5ED8B1}" name="Family"/>
    <tableColumn id="2" xr3:uid="{807DA020-62C8-4322-9C41-2D31CD99F1B0}" name="Sheet Name"/>
    <tableColumn id="3" xr3:uid="{59BDFC5A-7A5C-41EA-BDA3-B4F18403DC1E}" name="Descrip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32D0721-372A-4C5A-B4D5-BB8E078B0371}" name="Table12" displayName="Table12" ref="A1:I81" totalsRowShown="0" headerRowDxfId="114" dataDxfId="113">
  <autoFilter ref="A1:I81" xr:uid="{F32D0721-372A-4C5A-B4D5-BB8E078B0371}"/>
  <tableColumns count="9">
    <tableColumn id="1" xr3:uid="{F1E6C47D-53A5-4D1C-8C15-AA5B7F91BA2F}" name="Family" dataDxfId="112"/>
    <tableColumn id="2" xr3:uid="{2B9DE2EE-911C-426B-837A-F42789F2E942}" name="Subsystem" dataDxfId="111"/>
    <tableColumn id="3" xr3:uid="{74B53622-72A6-4E53-8E2B-4FB634F55EF1}" name="Purpose" dataDxfId="110"/>
    <tableColumn id="4" xr3:uid="{54D68204-3962-4FCF-9A6E-610701E8D4C9}" name="Inputs" dataDxfId="109"/>
    <tableColumn id="5" xr3:uid="{12EF4138-C835-45CF-AB5C-806BFC3D82A9}" name="Outputs" dataDxfId="108"/>
    <tableColumn id="6" xr3:uid="{0C6683B6-D2D6-4EDF-8336-88EFB2B2B75D}" name="Risks" dataDxfId="107"/>
    <tableColumn id="7" xr3:uid="{EEE53A16-3932-461B-8319-EC9180D90515}" name="Interfaces" dataDxfId="106"/>
    <tableColumn id="8" xr3:uid="{A6927BDD-CFB0-4DF9-B668-096BC21F8939}" name="Metrics" dataDxfId="105"/>
    <tableColumn id="9" xr3:uid="{D6DC3528-9659-4937-8AD7-D8E391BE68D8}" name="Externalities" dataDxfId="10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D950-2134-4809-8062-14B7AE671990}">
  <sheetPr codeName="Sheet2"/>
  <dimension ref="A1:H149"/>
  <sheetViews>
    <sheetView workbookViewId="0">
      <selection activeCell="B1" sqref="B1:H9"/>
    </sheetView>
  </sheetViews>
  <sheetFormatPr defaultRowHeight="52.5" customHeight="1" x14ac:dyDescent="0.25"/>
  <cols>
    <col min="1" max="8" width="18" customWidth="1"/>
  </cols>
  <sheetData>
    <row r="1" spans="1:8" ht="52.5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52.5" customHeight="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</row>
    <row r="3" spans="1:8" ht="52.5" customHeight="1" x14ac:dyDescent="0.25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</row>
    <row r="4" spans="1:8" ht="52.5" customHeight="1" x14ac:dyDescent="0.25">
      <c r="A4" s="1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</row>
    <row r="5" spans="1:8" ht="52.5" customHeight="1" x14ac:dyDescent="0.25">
      <c r="A5" s="1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</row>
    <row r="6" spans="1:8" ht="52.5" customHeight="1" x14ac:dyDescent="0.25">
      <c r="A6" s="1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</row>
    <row r="7" spans="1:8" ht="52.5" customHeight="1" x14ac:dyDescent="0.25">
      <c r="A7" s="1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</row>
    <row r="8" spans="1:8" ht="52.5" customHeight="1" x14ac:dyDescent="0.25">
      <c r="A8" s="1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</row>
    <row r="9" spans="1:8" ht="52.5" customHeight="1" x14ac:dyDescent="0.25">
      <c r="A9" s="1" t="s">
        <v>67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</row>
    <row r="119" spans="1:1" ht="52.5" customHeight="1" x14ac:dyDescent="0.25">
      <c r="A119" s="3"/>
    </row>
    <row r="122" spans="1:1" ht="52.5" customHeight="1" x14ac:dyDescent="0.25">
      <c r="A122" s="4"/>
    </row>
    <row r="123" spans="1:1" ht="52.5" customHeight="1" x14ac:dyDescent="0.25">
      <c r="A123" s="4"/>
    </row>
    <row r="124" spans="1:1" ht="52.5" customHeight="1" x14ac:dyDescent="0.25">
      <c r="A124" s="4"/>
    </row>
    <row r="125" spans="1:1" ht="52.5" customHeight="1" x14ac:dyDescent="0.25">
      <c r="A125" s="4"/>
    </row>
    <row r="126" spans="1:1" ht="52.5" customHeight="1" x14ac:dyDescent="0.25">
      <c r="A126" s="4"/>
    </row>
    <row r="127" spans="1:1" ht="52.5" customHeight="1" x14ac:dyDescent="0.25">
      <c r="A127" s="4"/>
    </row>
    <row r="128" spans="1:1" ht="52.5" customHeight="1" x14ac:dyDescent="0.25">
      <c r="A128" s="4"/>
    </row>
    <row r="129" spans="1:1" ht="52.5" customHeight="1" x14ac:dyDescent="0.25">
      <c r="A129" s="4"/>
    </row>
    <row r="130" spans="1:1" ht="52.5" customHeight="1" x14ac:dyDescent="0.25">
      <c r="A130" s="4"/>
    </row>
    <row r="131" spans="1:1" ht="52.5" customHeight="1" x14ac:dyDescent="0.25">
      <c r="A131" s="4"/>
    </row>
    <row r="137" spans="1:1" ht="52.5" customHeight="1" x14ac:dyDescent="0.25">
      <c r="A137" s="3"/>
    </row>
    <row r="140" spans="1:1" ht="52.5" customHeight="1" x14ac:dyDescent="0.25">
      <c r="A140" s="4"/>
    </row>
    <row r="141" spans="1:1" ht="52.5" customHeight="1" x14ac:dyDescent="0.25">
      <c r="A141" s="5"/>
    </row>
    <row r="142" spans="1:1" ht="52.5" customHeight="1" x14ac:dyDescent="0.25">
      <c r="A142" s="4"/>
    </row>
    <row r="143" spans="1:1" ht="52.5" customHeight="1" x14ac:dyDescent="0.25">
      <c r="A143" s="5"/>
    </row>
    <row r="144" spans="1:1" ht="52.5" customHeight="1" x14ac:dyDescent="0.25">
      <c r="A144" s="4"/>
    </row>
    <row r="145" spans="1:1" ht="52.5" customHeight="1" x14ac:dyDescent="0.25">
      <c r="A145" s="5"/>
    </row>
    <row r="146" spans="1:1" ht="52.5" customHeight="1" x14ac:dyDescent="0.25">
      <c r="A146" s="4"/>
    </row>
    <row r="147" spans="1:1" ht="52.5" customHeight="1" x14ac:dyDescent="0.25">
      <c r="A147" s="5"/>
    </row>
    <row r="148" spans="1:1" ht="52.5" customHeight="1" x14ac:dyDescent="0.25">
      <c r="A148" s="4"/>
    </row>
    <row r="149" spans="1:1" ht="52.5" customHeight="1" x14ac:dyDescent="0.25">
      <c r="A149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FBA5-2890-48CE-B862-92D4050979C0}">
  <sheetPr codeName="Sheet3"/>
  <dimension ref="A1:H9"/>
  <sheetViews>
    <sheetView workbookViewId="0">
      <selection activeCell="D9" sqref="D9"/>
    </sheetView>
  </sheetViews>
  <sheetFormatPr defaultRowHeight="15" x14ac:dyDescent="0.25"/>
  <cols>
    <col min="1" max="1" width="21.5703125" bestFit="1" customWidth="1"/>
    <col min="2" max="2" width="13" bestFit="1" customWidth="1"/>
    <col min="3" max="3" width="11.28515625" bestFit="1" customWidth="1"/>
    <col min="4" max="4" width="12.85546875" bestFit="1" customWidth="1"/>
    <col min="5" max="5" width="10.42578125" bestFit="1" customWidth="1"/>
    <col min="6" max="6" width="14.7109375" bestFit="1" customWidth="1"/>
    <col min="7" max="7" width="12.28515625" bestFit="1" customWidth="1"/>
    <col min="8" max="8" width="17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60" x14ac:dyDescent="0.25">
      <c r="A2" s="1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</row>
    <row r="3" spans="1:8" ht="45" x14ac:dyDescent="0.25">
      <c r="A3" s="1" t="s">
        <v>83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</row>
    <row r="4" spans="1:8" ht="60" x14ac:dyDescent="0.25">
      <c r="A4" s="1" t="s">
        <v>91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66</v>
      </c>
    </row>
    <row r="5" spans="1:8" ht="60" x14ac:dyDescent="0.25">
      <c r="A5" s="1" t="s">
        <v>98</v>
      </c>
      <c r="B5" s="2" t="s">
        <v>99</v>
      </c>
      <c r="C5" s="2" t="s">
        <v>100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</row>
    <row r="6" spans="1:8" ht="90" x14ac:dyDescent="0.25">
      <c r="A6" s="1" t="s">
        <v>106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111</v>
      </c>
      <c r="G6" s="2" t="s">
        <v>112</v>
      </c>
      <c r="H6" s="2" t="s">
        <v>113</v>
      </c>
    </row>
    <row r="7" spans="1:8" ht="45" x14ac:dyDescent="0.25">
      <c r="A7" s="1" t="s">
        <v>114</v>
      </c>
      <c r="B7" s="2" t="s">
        <v>115</v>
      </c>
      <c r="C7" s="2" t="s">
        <v>116</v>
      </c>
      <c r="D7" s="2" t="s">
        <v>117</v>
      </c>
      <c r="E7" s="2" t="s">
        <v>118</v>
      </c>
      <c r="F7" s="2" t="s">
        <v>119</v>
      </c>
      <c r="G7" s="2" t="s">
        <v>120</v>
      </c>
      <c r="H7" s="2" t="s">
        <v>121</v>
      </c>
    </row>
    <row r="8" spans="1:8" ht="60" x14ac:dyDescent="0.25">
      <c r="A8" s="1" t="s">
        <v>122</v>
      </c>
      <c r="B8" s="2" t="s">
        <v>123</v>
      </c>
      <c r="C8" s="2" t="s">
        <v>124</v>
      </c>
      <c r="D8" s="2" t="s">
        <v>125</v>
      </c>
      <c r="E8" s="2" t="s">
        <v>126</v>
      </c>
      <c r="F8" s="2" t="s">
        <v>127</v>
      </c>
      <c r="G8" s="2" t="s">
        <v>128</v>
      </c>
      <c r="H8" s="2" t="s">
        <v>129</v>
      </c>
    </row>
    <row r="9" spans="1:8" ht="60" x14ac:dyDescent="0.25">
      <c r="A9" s="1" t="s">
        <v>130</v>
      </c>
      <c r="B9" s="2" t="s">
        <v>131</v>
      </c>
      <c r="C9" s="2" t="s">
        <v>132</v>
      </c>
      <c r="D9" s="2" t="s">
        <v>133</v>
      </c>
      <c r="E9" s="2" t="s">
        <v>134</v>
      </c>
      <c r="F9" s="2" t="s">
        <v>135</v>
      </c>
      <c r="G9" s="2" t="s">
        <v>136</v>
      </c>
      <c r="H9" s="2" t="s">
        <v>137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BCD0-4A42-4A39-8FDC-422441581E37}">
  <sheetPr codeName="Sheet4"/>
  <dimension ref="A1:H9"/>
  <sheetViews>
    <sheetView workbookViewId="0">
      <selection activeCell="B2" sqref="B2:H9"/>
    </sheetView>
  </sheetViews>
  <sheetFormatPr defaultColWidth="16.42578125" defaultRowHeight="57" customHeight="1" x14ac:dyDescent="0.25"/>
  <cols>
    <col min="1" max="1" width="29.28515625" customWidth="1"/>
  </cols>
  <sheetData>
    <row r="1" spans="1:8" ht="37.5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57" customHeight="1" x14ac:dyDescent="0.25">
      <c r="A2" s="1" t="s">
        <v>138</v>
      </c>
      <c r="B2" s="2" t="s">
        <v>139</v>
      </c>
      <c r="C2" s="2" t="s">
        <v>140</v>
      </c>
      <c r="D2" s="2" t="s">
        <v>141</v>
      </c>
      <c r="E2" s="2" t="s">
        <v>142</v>
      </c>
      <c r="F2" s="2" t="s">
        <v>143</v>
      </c>
      <c r="G2" s="2" t="s">
        <v>144</v>
      </c>
      <c r="H2" s="2" t="s">
        <v>145</v>
      </c>
    </row>
    <row r="3" spans="1:8" ht="57" customHeight="1" x14ac:dyDescent="0.25">
      <c r="A3" s="1" t="s">
        <v>146</v>
      </c>
      <c r="B3" s="2" t="s">
        <v>147</v>
      </c>
      <c r="C3" s="2" t="s">
        <v>148</v>
      </c>
      <c r="D3" s="2" t="s">
        <v>149</v>
      </c>
      <c r="E3" s="2" t="s">
        <v>150</v>
      </c>
      <c r="F3" s="2" t="s">
        <v>151</v>
      </c>
      <c r="G3" s="2" t="s">
        <v>152</v>
      </c>
      <c r="H3" s="2" t="s">
        <v>153</v>
      </c>
    </row>
    <row r="4" spans="1:8" ht="57" customHeight="1" x14ac:dyDescent="0.25">
      <c r="A4" s="1" t="s">
        <v>154</v>
      </c>
      <c r="B4" s="2" t="s">
        <v>155</v>
      </c>
      <c r="C4" s="2" t="s">
        <v>156</v>
      </c>
      <c r="D4" s="2" t="s">
        <v>157</v>
      </c>
      <c r="E4" s="2" t="s">
        <v>158</v>
      </c>
      <c r="F4" s="2" t="s">
        <v>159</v>
      </c>
      <c r="G4" s="2" t="s">
        <v>160</v>
      </c>
      <c r="H4" s="2" t="s">
        <v>161</v>
      </c>
    </row>
    <row r="5" spans="1:8" ht="57" customHeight="1" x14ac:dyDescent="0.25">
      <c r="A5" s="1" t="s">
        <v>162</v>
      </c>
      <c r="B5" s="2" t="s">
        <v>163</v>
      </c>
      <c r="C5" s="2" t="s">
        <v>164</v>
      </c>
      <c r="D5" s="2" t="s">
        <v>165</v>
      </c>
      <c r="E5" s="2" t="s">
        <v>166</v>
      </c>
      <c r="F5" s="2" t="s">
        <v>135</v>
      </c>
      <c r="G5" s="2" t="s">
        <v>167</v>
      </c>
      <c r="H5" s="2" t="s">
        <v>168</v>
      </c>
    </row>
    <row r="6" spans="1:8" ht="57" customHeight="1" x14ac:dyDescent="0.25">
      <c r="A6" s="1" t="s">
        <v>169</v>
      </c>
      <c r="B6" s="2" t="s">
        <v>170</v>
      </c>
      <c r="C6" s="2" t="s">
        <v>171</v>
      </c>
      <c r="D6" s="2" t="s">
        <v>172</v>
      </c>
      <c r="E6" s="2" t="s">
        <v>173</v>
      </c>
      <c r="F6" s="2" t="s">
        <v>174</v>
      </c>
      <c r="G6" s="2" t="s">
        <v>175</v>
      </c>
      <c r="H6" s="2" t="s">
        <v>176</v>
      </c>
    </row>
    <row r="7" spans="1:8" ht="57" customHeight="1" x14ac:dyDescent="0.25">
      <c r="A7" s="1" t="s">
        <v>177</v>
      </c>
      <c r="B7" s="2" t="s">
        <v>178</v>
      </c>
      <c r="C7" s="2" t="s">
        <v>179</v>
      </c>
      <c r="D7" s="2" t="s">
        <v>180</v>
      </c>
      <c r="E7" s="2" t="s">
        <v>181</v>
      </c>
      <c r="F7" s="2" t="s">
        <v>182</v>
      </c>
      <c r="G7" s="2" t="s">
        <v>183</v>
      </c>
      <c r="H7" s="2" t="s">
        <v>184</v>
      </c>
    </row>
    <row r="8" spans="1:8" ht="57" customHeight="1" x14ac:dyDescent="0.25">
      <c r="A8" s="1" t="s">
        <v>185</v>
      </c>
      <c r="B8" s="2" t="s">
        <v>186</v>
      </c>
      <c r="C8" s="2" t="s">
        <v>187</v>
      </c>
      <c r="D8" s="2" t="s">
        <v>188</v>
      </c>
      <c r="E8" s="2" t="s">
        <v>189</v>
      </c>
      <c r="F8" s="2" t="s">
        <v>190</v>
      </c>
      <c r="G8" s="2" t="s">
        <v>191</v>
      </c>
      <c r="H8" s="2" t="s">
        <v>192</v>
      </c>
    </row>
    <row r="9" spans="1:8" ht="57" customHeight="1" x14ac:dyDescent="0.25">
      <c r="A9" s="1" t="s">
        <v>193</v>
      </c>
      <c r="B9" s="2" t="s">
        <v>194</v>
      </c>
      <c r="C9" s="2" t="s">
        <v>195</v>
      </c>
      <c r="D9" s="2" t="s">
        <v>196</v>
      </c>
      <c r="E9" s="2" t="s">
        <v>197</v>
      </c>
      <c r="F9" s="2" t="s">
        <v>135</v>
      </c>
      <c r="G9" s="2" t="s">
        <v>198</v>
      </c>
      <c r="H9" s="2" t="s">
        <v>199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4AEF-3A12-4A06-91D9-CAC4384FA593}">
  <sheetPr codeName="Sheet5"/>
  <dimension ref="A1:H9"/>
  <sheetViews>
    <sheetView workbookViewId="0">
      <selection activeCell="B2" sqref="B2:H9"/>
    </sheetView>
  </sheetViews>
  <sheetFormatPr defaultColWidth="13.5703125" defaultRowHeight="15" x14ac:dyDescent="0.25"/>
  <cols>
    <col min="1" max="1" width="17.7109375" customWidth="1"/>
    <col min="2" max="2" width="14.28515625" customWidth="1"/>
  </cols>
  <sheetData>
    <row r="1" spans="1:8" ht="3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90" x14ac:dyDescent="0.25">
      <c r="A2" s="1" t="s">
        <v>200</v>
      </c>
      <c r="B2" s="2" t="s">
        <v>201</v>
      </c>
      <c r="C2" s="2" t="s">
        <v>202</v>
      </c>
      <c r="D2" s="2" t="s">
        <v>203</v>
      </c>
      <c r="E2" s="2" t="s">
        <v>204</v>
      </c>
      <c r="F2" s="2" t="s">
        <v>205</v>
      </c>
      <c r="G2" s="2" t="s">
        <v>206</v>
      </c>
      <c r="H2" s="2" t="s">
        <v>207</v>
      </c>
    </row>
    <row r="3" spans="1:8" ht="75" x14ac:dyDescent="0.25">
      <c r="A3" s="1" t="s">
        <v>208</v>
      </c>
      <c r="B3" s="2" t="s">
        <v>209</v>
      </c>
      <c r="C3" s="2" t="s">
        <v>210</v>
      </c>
      <c r="D3" s="2" t="s">
        <v>211</v>
      </c>
      <c r="E3" s="2" t="s">
        <v>212</v>
      </c>
      <c r="F3" s="2" t="s">
        <v>213</v>
      </c>
      <c r="G3" s="2" t="s">
        <v>214</v>
      </c>
      <c r="H3" s="2" t="s">
        <v>215</v>
      </c>
    </row>
    <row r="4" spans="1:8" ht="45" x14ac:dyDescent="0.25">
      <c r="A4" s="1" t="s">
        <v>216</v>
      </c>
      <c r="B4" s="2" t="s">
        <v>217</v>
      </c>
      <c r="C4" s="2" t="s">
        <v>218</v>
      </c>
      <c r="D4" s="2" t="s">
        <v>219</v>
      </c>
      <c r="E4" s="2" t="s">
        <v>220</v>
      </c>
      <c r="F4" s="2" t="s">
        <v>221</v>
      </c>
      <c r="G4" s="2" t="s">
        <v>222</v>
      </c>
      <c r="H4" s="2" t="s">
        <v>223</v>
      </c>
    </row>
    <row r="5" spans="1:8" ht="45" x14ac:dyDescent="0.25">
      <c r="A5" s="1" t="s">
        <v>224</v>
      </c>
      <c r="B5" s="2" t="s">
        <v>225</v>
      </c>
      <c r="C5" s="2" t="s">
        <v>226</v>
      </c>
      <c r="D5" s="2" t="s">
        <v>227</v>
      </c>
      <c r="E5" s="2" t="s">
        <v>228</v>
      </c>
      <c r="F5" s="2" t="s">
        <v>229</v>
      </c>
      <c r="G5" s="2" t="s">
        <v>230</v>
      </c>
      <c r="H5" s="2" t="s">
        <v>231</v>
      </c>
    </row>
    <row r="6" spans="1:8" ht="60" x14ac:dyDescent="0.25">
      <c r="A6" s="1" t="s">
        <v>232</v>
      </c>
      <c r="B6" s="2" t="s">
        <v>233</v>
      </c>
      <c r="C6" s="2" t="s">
        <v>234</v>
      </c>
      <c r="D6" s="2" t="s">
        <v>235</v>
      </c>
      <c r="E6" s="2" t="s">
        <v>236</v>
      </c>
      <c r="F6" s="2" t="s">
        <v>237</v>
      </c>
      <c r="G6" s="2" t="s">
        <v>238</v>
      </c>
      <c r="H6" s="2" t="s">
        <v>58</v>
      </c>
    </row>
    <row r="7" spans="1:8" ht="75" x14ac:dyDescent="0.25">
      <c r="A7" s="1" t="s">
        <v>239</v>
      </c>
      <c r="B7" s="2" t="s">
        <v>240</v>
      </c>
      <c r="C7" s="2" t="s">
        <v>241</v>
      </c>
      <c r="D7" s="2" t="s">
        <v>242</v>
      </c>
      <c r="E7" s="2" t="s">
        <v>243</v>
      </c>
      <c r="F7" s="2" t="s">
        <v>213</v>
      </c>
      <c r="G7" s="2" t="s">
        <v>244</v>
      </c>
      <c r="H7" s="2" t="s">
        <v>245</v>
      </c>
    </row>
    <row r="8" spans="1:8" ht="45" x14ac:dyDescent="0.25">
      <c r="A8" s="1" t="s">
        <v>246</v>
      </c>
      <c r="B8" s="2" t="s">
        <v>247</v>
      </c>
      <c r="C8" s="2" t="s">
        <v>248</v>
      </c>
      <c r="D8" s="2" t="s">
        <v>249</v>
      </c>
      <c r="E8" s="2" t="s">
        <v>250</v>
      </c>
      <c r="F8" s="2" t="s">
        <v>174</v>
      </c>
      <c r="G8" s="2" t="s">
        <v>251</v>
      </c>
      <c r="H8" s="2" t="s">
        <v>252</v>
      </c>
    </row>
    <row r="9" spans="1:8" ht="60" x14ac:dyDescent="0.25">
      <c r="A9" s="1" t="s">
        <v>253</v>
      </c>
      <c r="B9" s="2" t="s">
        <v>254</v>
      </c>
      <c r="C9" s="2" t="s">
        <v>255</v>
      </c>
      <c r="D9" s="2" t="s">
        <v>256</v>
      </c>
      <c r="E9" s="2" t="s">
        <v>257</v>
      </c>
      <c r="F9" s="2" t="s">
        <v>205</v>
      </c>
      <c r="G9" s="2" t="s">
        <v>258</v>
      </c>
      <c r="H9" s="2" t="s">
        <v>259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83B1-A4DA-429E-AC64-3E5979E0A016}">
  <sheetPr codeName="Sheet6"/>
  <dimension ref="A1:H9"/>
  <sheetViews>
    <sheetView workbookViewId="0">
      <selection activeCell="B2" sqref="B2:H9"/>
    </sheetView>
  </sheetViews>
  <sheetFormatPr defaultColWidth="17.85546875" defaultRowHeight="56.25" customHeight="1" x14ac:dyDescent="0.25"/>
  <sheetData>
    <row r="1" spans="1:8" ht="56.25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56.25" customHeight="1" x14ac:dyDescent="0.25">
      <c r="A2" s="1" t="s">
        <v>260</v>
      </c>
      <c r="B2" s="2" t="s">
        <v>261</v>
      </c>
      <c r="C2" s="2" t="s">
        <v>262</v>
      </c>
      <c r="D2" s="2" t="s">
        <v>263</v>
      </c>
      <c r="E2" s="2" t="s">
        <v>264</v>
      </c>
      <c r="F2" s="2" t="s">
        <v>265</v>
      </c>
      <c r="G2" s="2" t="s">
        <v>266</v>
      </c>
      <c r="H2" s="2" t="s">
        <v>267</v>
      </c>
    </row>
    <row r="3" spans="1:8" ht="56.25" customHeight="1" x14ac:dyDescent="0.25">
      <c r="A3" s="1" t="s">
        <v>268</v>
      </c>
      <c r="B3" s="2" t="s">
        <v>269</v>
      </c>
      <c r="C3" s="2" t="s">
        <v>270</v>
      </c>
      <c r="D3" s="2" t="s">
        <v>271</v>
      </c>
      <c r="E3" s="2" t="s">
        <v>272</v>
      </c>
      <c r="F3" s="2" t="s">
        <v>273</v>
      </c>
      <c r="G3" s="2" t="s">
        <v>274</v>
      </c>
      <c r="H3" s="2" t="s">
        <v>275</v>
      </c>
    </row>
    <row r="4" spans="1:8" ht="56.25" customHeight="1" x14ac:dyDescent="0.25">
      <c r="A4" s="1" t="s">
        <v>276</v>
      </c>
      <c r="B4" s="2" t="s">
        <v>277</v>
      </c>
      <c r="C4" s="2" t="s">
        <v>278</v>
      </c>
      <c r="D4" s="2" t="s">
        <v>279</v>
      </c>
      <c r="E4" s="2" t="s">
        <v>280</v>
      </c>
      <c r="F4" s="2" t="s">
        <v>281</v>
      </c>
      <c r="G4" s="2" t="s">
        <v>282</v>
      </c>
      <c r="H4" s="2" t="s">
        <v>283</v>
      </c>
    </row>
    <row r="5" spans="1:8" ht="56.25" customHeight="1" x14ac:dyDescent="0.25">
      <c r="A5" s="1" t="s">
        <v>284</v>
      </c>
      <c r="B5" s="2" t="s">
        <v>285</v>
      </c>
      <c r="C5" s="2" t="s">
        <v>286</v>
      </c>
      <c r="D5" s="2" t="s">
        <v>287</v>
      </c>
      <c r="E5" s="2" t="s">
        <v>288</v>
      </c>
      <c r="F5" s="2" t="s">
        <v>190</v>
      </c>
      <c r="G5" s="2" t="s">
        <v>289</v>
      </c>
      <c r="H5" s="2" t="s">
        <v>290</v>
      </c>
    </row>
    <row r="6" spans="1:8" ht="56.25" customHeight="1" x14ac:dyDescent="0.25">
      <c r="A6" s="1" t="s">
        <v>291</v>
      </c>
      <c r="B6" s="2" t="s">
        <v>292</v>
      </c>
      <c r="C6" s="2" t="s">
        <v>293</v>
      </c>
      <c r="D6" s="2" t="s">
        <v>172</v>
      </c>
      <c r="E6" s="2" t="s">
        <v>294</v>
      </c>
      <c r="F6" s="2" t="s">
        <v>174</v>
      </c>
      <c r="G6" s="2" t="s">
        <v>175</v>
      </c>
      <c r="H6" s="2" t="s">
        <v>295</v>
      </c>
    </row>
    <row r="7" spans="1:8" ht="56.25" customHeight="1" x14ac:dyDescent="0.25">
      <c r="A7" s="1" t="s">
        <v>296</v>
      </c>
      <c r="B7" s="2" t="s">
        <v>297</v>
      </c>
      <c r="C7" s="2" t="s">
        <v>298</v>
      </c>
      <c r="D7" s="2" t="s">
        <v>256</v>
      </c>
      <c r="E7" s="2" t="s">
        <v>299</v>
      </c>
      <c r="F7" s="2" t="s">
        <v>135</v>
      </c>
      <c r="G7" s="2" t="s">
        <v>258</v>
      </c>
      <c r="H7" s="2" t="s">
        <v>300</v>
      </c>
    </row>
    <row r="8" spans="1:8" ht="56.25" customHeight="1" x14ac:dyDescent="0.25">
      <c r="A8" s="1" t="s">
        <v>301</v>
      </c>
      <c r="B8" s="2" t="s">
        <v>302</v>
      </c>
      <c r="C8" s="2" t="s">
        <v>303</v>
      </c>
      <c r="D8" s="2" t="s">
        <v>304</v>
      </c>
      <c r="E8" s="2" t="s">
        <v>305</v>
      </c>
      <c r="F8" s="2" t="s">
        <v>229</v>
      </c>
      <c r="G8" s="2" t="s">
        <v>306</v>
      </c>
      <c r="H8" s="2" t="s">
        <v>307</v>
      </c>
    </row>
    <row r="9" spans="1:8" ht="56.25" customHeight="1" x14ac:dyDescent="0.25">
      <c r="A9" s="1" t="s">
        <v>308</v>
      </c>
      <c r="B9" s="2" t="s">
        <v>309</v>
      </c>
      <c r="C9" s="2" t="s">
        <v>310</v>
      </c>
      <c r="D9" s="2" t="s">
        <v>311</v>
      </c>
      <c r="E9" s="2" t="s">
        <v>257</v>
      </c>
      <c r="F9" s="2" t="s">
        <v>174</v>
      </c>
      <c r="G9" s="2" t="s">
        <v>312</v>
      </c>
      <c r="H9" s="2" t="s">
        <v>313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5395-9D9E-4A29-A337-68A36E1426F6}">
  <sheetPr codeName="Sheet7"/>
  <dimension ref="A1:H9"/>
  <sheetViews>
    <sheetView workbookViewId="0">
      <selection activeCell="B2" sqref="B2:H9"/>
    </sheetView>
  </sheetViews>
  <sheetFormatPr defaultColWidth="17" defaultRowHeight="60" customHeight="1" x14ac:dyDescent="0.25"/>
  <cols>
    <col min="1" max="8" width="17" style="15"/>
  </cols>
  <sheetData>
    <row r="1" spans="1:8" ht="60" customHeight="1" x14ac:dyDescent="0.25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9" t="s">
        <v>10</v>
      </c>
    </row>
    <row r="2" spans="1:8" ht="60" customHeight="1" x14ac:dyDescent="0.25">
      <c r="A2" s="10" t="s">
        <v>314</v>
      </c>
      <c r="B2" s="6" t="s">
        <v>315</v>
      </c>
      <c r="C2" s="6" t="s">
        <v>316</v>
      </c>
      <c r="D2" s="6" t="s">
        <v>317</v>
      </c>
      <c r="E2" s="6" t="s">
        <v>318</v>
      </c>
      <c r="F2" s="6" t="s">
        <v>174</v>
      </c>
      <c r="G2" s="6" t="s">
        <v>319</v>
      </c>
      <c r="H2" s="11" t="s">
        <v>320</v>
      </c>
    </row>
    <row r="3" spans="1:8" ht="60" customHeight="1" x14ac:dyDescent="0.25">
      <c r="A3" s="10" t="s">
        <v>321</v>
      </c>
      <c r="B3" s="6" t="s">
        <v>322</v>
      </c>
      <c r="C3" s="6" t="s">
        <v>323</v>
      </c>
      <c r="D3" s="6" t="s">
        <v>324</v>
      </c>
      <c r="E3" s="6" t="s">
        <v>325</v>
      </c>
      <c r="F3" s="6" t="s">
        <v>221</v>
      </c>
      <c r="G3" s="6" t="s">
        <v>326</v>
      </c>
      <c r="H3" s="11" t="s">
        <v>327</v>
      </c>
    </row>
    <row r="4" spans="1:8" ht="60" customHeight="1" x14ac:dyDescent="0.25">
      <c r="A4" s="10" t="s">
        <v>328</v>
      </c>
      <c r="B4" s="6" t="s">
        <v>329</v>
      </c>
      <c r="C4" s="6" t="s">
        <v>330</v>
      </c>
      <c r="D4" s="6" t="s">
        <v>331</v>
      </c>
      <c r="E4" s="6" t="s">
        <v>332</v>
      </c>
      <c r="F4" s="6" t="s">
        <v>135</v>
      </c>
      <c r="G4" s="6" t="s">
        <v>333</v>
      </c>
      <c r="H4" s="11" t="s">
        <v>320</v>
      </c>
    </row>
    <row r="5" spans="1:8" ht="60" customHeight="1" x14ac:dyDescent="0.25">
      <c r="A5" s="10" t="s">
        <v>334</v>
      </c>
      <c r="B5" s="6" t="s">
        <v>335</v>
      </c>
      <c r="C5" s="6" t="s">
        <v>336</v>
      </c>
      <c r="D5" s="6" t="s">
        <v>337</v>
      </c>
      <c r="E5" s="6" t="s">
        <v>318</v>
      </c>
      <c r="F5" s="6" t="s">
        <v>338</v>
      </c>
      <c r="G5" s="6" t="s">
        <v>339</v>
      </c>
      <c r="H5" s="11" t="s">
        <v>340</v>
      </c>
    </row>
    <row r="6" spans="1:8" ht="60" customHeight="1" x14ac:dyDescent="0.25">
      <c r="A6" s="10" t="s">
        <v>341</v>
      </c>
      <c r="B6" s="6" t="s">
        <v>342</v>
      </c>
      <c r="C6" s="6" t="s">
        <v>343</v>
      </c>
      <c r="D6" s="6" t="s">
        <v>344</v>
      </c>
      <c r="E6" s="6" t="s">
        <v>345</v>
      </c>
      <c r="F6" s="6" t="s">
        <v>174</v>
      </c>
      <c r="G6" s="6" t="s">
        <v>346</v>
      </c>
      <c r="H6" s="11" t="s">
        <v>121</v>
      </c>
    </row>
    <row r="7" spans="1:8" ht="60" customHeight="1" x14ac:dyDescent="0.25">
      <c r="A7" s="10" t="s">
        <v>347</v>
      </c>
      <c r="B7" s="6" t="s">
        <v>348</v>
      </c>
      <c r="C7" s="6" t="s">
        <v>349</v>
      </c>
      <c r="D7" s="6" t="s">
        <v>350</v>
      </c>
      <c r="E7" s="6" t="s">
        <v>351</v>
      </c>
      <c r="F7" s="6" t="s">
        <v>352</v>
      </c>
      <c r="G7" s="6" t="s">
        <v>353</v>
      </c>
      <c r="H7" s="11" t="s">
        <v>354</v>
      </c>
    </row>
    <row r="8" spans="1:8" ht="60" customHeight="1" x14ac:dyDescent="0.25">
      <c r="A8" s="10" t="s">
        <v>355</v>
      </c>
      <c r="B8" s="6" t="s">
        <v>356</v>
      </c>
      <c r="C8" s="6" t="s">
        <v>357</v>
      </c>
      <c r="D8" s="6" t="s">
        <v>358</v>
      </c>
      <c r="E8" s="6" t="s">
        <v>359</v>
      </c>
      <c r="F8" s="6" t="s">
        <v>174</v>
      </c>
      <c r="G8" s="6" t="s">
        <v>360</v>
      </c>
      <c r="H8" s="11" t="s">
        <v>361</v>
      </c>
    </row>
    <row r="9" spans="1:8" ht="60" customHeight="1" x14ac:dyDescent="0.25">
      <c r="A9" s="12" t="s">
        <v>362</v>
      </c>
      <c r="B9" s="13" t="s">
        <v>363</v>
      </c>
      <c r="C9" s="13" t="s">
        <v>364</v>
      </c>
      <c r="D9" s="13" t="s">
        <v>365</v>
      </c>
      <c r="E9" s="13" t="s">
        <v>366</v>
      </c>
      <c r="F9" s="13" t="s">
        <v>135</v>
      </c>
      <c r="G9" s="13" t="s">
        <v>367</v>
      </c>
      <c r="H9" s="14" t="s">
        <v>368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B766-30E6-43BB-983D-54B925E23061}">
  <sheetPr codeName="Sheet8"/>
  <dimension ref="A1:H9"/>
  <sheetViews>
    <sheetView workbookViewId="0">
      <selection activeCell="B2" sqref="B2:H9"/>
    </sheetView>
  </sheetViews>
  <sheetFormatPr defaultColWidth="16.85546875" defaultRowHeight="48" customHeight="1" x14ac:dyDescent="0.25"/>
  <sheetData>
    <row r="1" spans="1:8" ht="48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48" customHeight="1" x14ac:dyDescent="0.25">
      <c r="A2" s="1" t="s">
        <v>369</v>
      </c>
      <c r="B2" s="2" t="s">
        <v>370</v>
      </c>
      <c r="C2" s="2" t="s">
        <v>371</v>
      </c>
      <c r="D2" s="2" t="s">
        <v>372</v>
      </c>
      <c r="E2" s="2" t="s">
        <v>257</v>
      </c>
      <c r="F2" s="2" t="s">
        <v>174</v>
      </c>
      <c r="G2" s="2" t="s">
        <v>373</v>
      </c>
      <c r="H2" s="2" t="s">
        <v>82</v>
      </c>
    </row>
    <row r="3" spans="1:8" ht="48" customHeight="1" x14ac:dyDescent="0.25">
      <c r="A3" s="1" t="s">
        <v>374</v>
      </c>
      <c r="B3" s="2" t="s">
        <v>375</v>
      </c>
      <c r="C3" s="2" t="s">
        <v>376</v>
      </c>
      <c r="D3" s="2" t="s">
        <v>377</v>
      </c>
      <c r="E3" s="2" t="s">
        <v>378</v>
      </c>
      <c r="F3" s="2" t="s">
        <v>221</v>
      </c>
      <c r="G3" s="2" t="s">
        <v>379</v>
      </c>
      <c r="H3" s="2" t="s">
        <v>380</v>
      </c>
    </row>
    <row r="4" spans="1:8" ht="48" customHeight="1" x14ac:dyDescent="0.25">
      <c r="A4" s="1" t="s">
        <v>381</v>
      </c>
      <c r="B4" s="2" t="s">
        <v>382</v>
      </c>
      <c r="C4" s="2" t="s">
        <v>371</v>
      </c>
      <c r="D4" s="2" t="s">
        <v>383</v>
      </c>
      <c r="E4" s="2" t="s">
        <v>384</v>
      </c>
      <c r="F4" s="2" t="s">
        <v>352</v>
      </c>
      <c r="G4" s="2" t="s">
        <v>385</v>
      </c>
      <c r="H4" s="2" t="s">
        <v>386</v>
      </c>
    </row>
    <row r="5" spans="1:8" ht="48" customHeight="1" x14ac:dyDescent="0.25">
      <c r="A5" s="1" t="s">
        <v>387</v>
      </c>
      <c r="B5" s="2" t="s">
        <v>388</v>
      </c>
      <c r="C5" s="2" t="s">
        <v>389</v>
      </c>
      <c r="D5" s="2" t="s">
        <v>390</v>
      </c>
      <c r="E5" s="2" t="s">
        <v>391</v>
      </c>
      <c r="F5" s="2" t="s">
        <v>190</v>
      </c>
      <c r="G5" s="2" t="s">
        <v>392</v>
      </c>
      <c r="H5" s="2" t="s">
        <v>393</v>
      </c>
    </row>
    <row r="6" spans="1:8" ht="48" customHeight="1" x14ac:dyDescent="0.25">
      <c r="A6" s="1" t="s">
        <v>394</v>
      </c>
      <c r="B6" s="2" t="s">
        <v>395</v>
      </c>
      <c r="C6" s="2" t="s">
        <v>396</v>
      </c>
      <c r="D6" s="2" t="s">
        <v>397</v>
      </c>
      <c r="E6" s="2" t="s">
        <v>359</v>
      </c>
      <c r="F6" s="2" t="s">
        <v>205</v>
      </c>
      <c r="G6" s="2" t="s">
        <v>398</v>
      </c>
      <c r="H6" s="2" t="s">
        <v>399</v>
      </c>
    </row>
    <row r="7" spans="1:8" ht="48" customHeight="1" x14ac:dyDescent="0.25">
      <c r="A7" s="1" t="s">
        <v>400</v>
      </c>
      <c r="B7" s="2" t="s">
        <v>401</v>
      </c>
      <c r="C7" s="2" t="s">
        <v>396</v>
      </c>
      <c r="D7" s="2" t="s">
        <v>402</v>
      </c>
      <c r="E7" s="2" t="s">
        <v>403</v>
      </c>
      <c r="F7" s="2" t="s">
        <v>174</v>
      </c>
      <c r="G7" s="2" t="s">
        <v>404</v>
      </c>
      <c r="H7" s="2" t="s">
        <v>405</v>
      </c>
    </row>
    <row r="8" spans="1:8" ht="48" customHeight="1" x14ac:dyDescent="0.25">
      <c r="A8" s="1" t="s">
        <v>406</v>
      </c>
      <c r="B8" s="2" t="s">
        <v>407</v>
      </c>
      <c r="C8" s="2" t="s">
        <v>408</v>
      </c>
      <c r="D8" s="2" t="s">
        <v>409</v>
      </c>
      <c r="E8" s="2" t="s">
        <v>410</v>
      </c>
      <c r="F8" s="2" t="s">
        <v>135</v>
      </c>
      <c r="G8" s="2" t="s">
        <v>411</v>
      </c>
      <c r="H8" s="2" t="s">
        <v>412</v>
      </c>
    </row>
    <row r="9" spans="1:8" ht="48" customHeight="1" x14ac:dyDescent="0.25">
      <c r="A9" s="1" t="s">
        <v>413</v>
      </c>
      <c r="B9" s="2" t="s">
        <v>414</v>
      </c>
      <c r="C9" s="2" t="s">
        <v>396</v>
      </c>
      <c r="D9" s="2" t="s">
        <v>415</v>
      </c>
      <c r="E9" s="2" t="s">
        <v>257</v>
      </c>
      <c r="F9" s="2" t="s">
        <v>265</v>
      </c>
      <c r="G9" s="2" t="s">
        <v>416</v>
      </c>
      <c r="H9" s="2" t="s">
        <v>129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C3A2-BD8D-40F3-B93D-696D1EFB9DDC}">
  <sheetPr codeName="Sheet9"/>
  <dimension ref="A1:H9"/>
  <sheetViews>
    <sheetView workbookViewId="0">
      <selection activeCell="B2" sqref="B2:H9"/>
    </sheetView>
  </sheetViews>
  <sheetFormatPr defaultColWidth="20" defaultRowHeight="54.75" customHeight="1" x14ac:dyDescent="0.25"/>
  <sheetData>
    <row r="1" spans="1:8" ht="54.75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54.75" customHeight="1" x14ac:dyDescent="0.25">
      <c r="A2" s="1" t="s">
        <v>417</v>
      </c>
      <c r="B2" s="2" t="s">
        <v>418</v>
      </c>
      <c r="C2" s="2" t="s">
        <v>419</v>
      </c>
      <c r="D2" s="2" t="s">
        <v>420</v>
      </c>
      <c r="E2" s="2" t="s">
        <v>421</v>
      </c>
      <c r="F2" s="2" t="s">
        <v>422</v>
      </c>
      <c r="G2" s="2" t="s">
        <v>423</v>
      </c>
      <c r="H2" s="2" t="s">
        <v>424</v>
      </c>
    </row>
    <row r="3" spans="1:8" ht="54.75" customHeight="1" x14ac:dyDescent="0.25">
      <c r="A3" s="1" t="s">
        <v>425</v>
      </c>
      <c r="B3" s="2" t="s">
        <v>426</v>
      </c>
      <c r="C3" s="2" t="s">
        <v>427</v>
      </c>
      <c r="D3" s="2" t="s">
        <v>428</v>
      </c>
      <c r="E3" s="2" t="s">
        <v>429</v>
      </c>
      <c r="F3" s="2" t="s">
        <v>430</v>
      </c>
      <c r="G3" s="2" t="s">
        <v>431</v>
      </c>
      <c r="H3" s="2" t="s">
        <v>432</v>
      </c>
    </row>
    <row r="4" spans="1:8" ht="54.75" customHeight="1" x14ac:dyDescent="0.25">
      <c r="A4" s="1" t="s">
        <v>433</v>
      </c>
      <c r="B4" s="2" t="s">
        <v>434</v>
      </c>
      <c r="C4" s="2" t="s">
        <v>435</v>
      </c>
      <c r="D4" s="2" t="s">
        <v>436</v>
      </c>
      <c r="E4" s="2" t="s">
        <v>437</v>
      </c>
      <c r="F4" s="2" t="s">
        <v>221</v>
      </c>
      <c r="G4" s="2" t="s">
        <v>438</v>
      </c>
      <c r="H4" s="2" t="s">
        <v>386</v>
      </c>
    </row>
    <row r="5" spans="1:8" ht="54.75" customHeight="1" x14ac:dyDescent="0.25">
      <c r="A5" s="1" t="s">
        <v>439</v>
      </c>
      <c r="B5" s="2" t="s">
        <v>440</v>
      </c>
      <c r="C5" s="2" t="s">
        <v>9</v>
      </c>
      <c r="D5" s="2" t="s">
        <v>441</v>
      </c>
      <c r="E5" s="2" t="s">
        <v>257</v>
      </c>
      <c r="F5" s="2" t="s">
        <v>229</v>
      </c>
      <c r="G5" s="2" t="s">
        <v>442</v>
      </c>
      <c r="H5" s="2" t="s">
        <v>443</v>
      </c>
    </row>
    <row r="6" spans="1:8" ht="54.75" customHeight="1" x14ac:dyDescent="0.25">
      <c r="A6" s="1" t="s">
        <v>444</v>
      </c>
      <c r="B6" s="2" t="s">
        <v>445</v>
      </c>
      <c r="C6" s="2" t="s">
        <v>446</v>
      </c>
      <c r="D6" s="2" t="s">
        <v>447</v>
      </c>
      <c r="E6" s="2" t="s">
        <v>448</v>
      </c>
      <c r="F6" s="2" t="s">
        <v>190</v>
      </c>
      <c r="G6" s="2" t="s">
        <v>449</v>
      </c>
      <c r="H6" s="2" t="s">
        <v>450</v>
      </c>
    </row>
    <row r="7" spans="1:8" ht="54.75" customHeight="1" x14ac:dyDescent="0.25">
      <c r="A7" s="1" t="s">
        <v>451</v>
      </c>
      <c r="B7" s="2" t="s">
        <v>452</v>
      </c>
      <c r="C7" s="2" t="s">
        <v>157</v>
      </c>
      <c r="D7" s="2" t="s">
        <v>172</v>
      </c>
      <c r="E7" s="2" t="s">
        <v>453</v>
      </c>
      <c r="F7" s="2" t="s">
        <v>454</v>
      </c>
      <c r="G7" s="2" t="s">
        <v>175</v>
      </c>
      <c r="H7" s="2" t="s">
        <v>176</v>
      </c>
    </row>
    <row r="8" spans="1:8" ht="54.75" customHeight="1" x14ac:dyDescent="0.25">
      <c r="A8" s="1" t="s">
        <v>455</v>
      </c>
      <c r="B8" s="2" t="s">
        <v>456</v>
      </c>
      <c r="C8" s="2" t="s">
        <v>435</v>
      </c>
      <c r="D8" s="2" t="s">
        <v>457</v>
      </c>
      <c r="E8" s="2" t="s">
        <v>458</v>
      </c>
      <c r="F8" s="2" t="s">
        <v>174</v>
      </c>
      <c r="G8" s="2" t="s">
        <v>459</v>
      </c>
      <c r="H8" s="2" t="s">
        <v>460</v>
      </c>
    </row>
    <row r="9" spans="1:8" ht="54.75" customHeight="1" x14ac:dyDescent="0.25">
      <c r="A9" s="1" t="s">
        <v>461</v>
      </c>
      <c r="B9" s="2" t="s">
        <v>462</v>
      </c>
      <c r="C9" s="2" t="s">
        <v>463</v>
      </c>
      <c r="D9" s="2" t="s">
        <v>464</v>
      </c>
      <c r="E9" s="2" t="s">
        <v>465</v>
      </c>
      <c r="F9" s="2" t="s">
        <v>273</v>
      </c>
      <c r="G9" s="2" t="s">
        <v>466</v>
      </c>
      <c r="H9" s="2" t="s">
        <v>467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F98B-8334-4F82-B499-B77A7898EB46}">
  <sheetPr codeName="Sheet10"/>
  <dimension ref="A1:H9"/>
  <sheetViews>
    <sheetView workbookViewId="0">
      <selection activeCell="B2" sqref="B2:H9"/>
    </sheetView>
  </sheetViews>
  <sheetFormatPr defaultColWidth="16.85546875" defaultRowHeight="69" customHeight="1" x14ac:dyDescent="0.25"/>
  <sheetData>
    <row r="1" spans="1:8" ht="69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69" customHeight="1" x14ac:dyDescent="0.25">
      <c r="A2" s="1" t="s">
        <v>468</v>
      </c>
      <c r="B2" s="2" t="s">
        <v>469</v>
      </c>
      <c r="C2" s="2" t="s">
        <v>470</v>
      </c>
      <c r="D2" s="2" t="s">
        <v>471</v>
      </c>
      <c r="E2" s="2" t="s">
        <v>472</v>
      </c>
      <c r="F2" s="2" t="s">
        <v>454</v>
      </c>
      <c r="G2" s="2" t="s">
        <v>473</v>
      </c>
      <c r="H2" s="2" t="s">
        <v>474</v>
      </c>
    </row>
    <row r="3" spans="1:8" ht="69" customHeight="1" x14ac:dyDescent="0.25">
      <c r="A3" s="1" t="s">
        <v>475</v>
      </c>
      <c r="B3" s="2" t="s">
        <v>476</v>
      </c>
      <c r="C3" s="2" t="s">
        <v>477</v>
      </c>
      <c r="D3" s="2" t="s">
        <v>478</v>
      </c>
      <c r="E3" s="2" t="s">
        <v>479</v>
      </c>
      <c r="F3" s="2" t="s">
        <v>174</v>
      </c>
      <c r="G3" s="2" t="s">
        <v>480</v>
      </c>
      <c r="H3" s="2" t="s">
        <v>481</v>
      </c>
    </row>
    <row r="4" spans="1:8" ht="69" customHeight="1" x14ac:dyDescent="0.25">
      <c r="A4" s="1" t="s">
        <v>482</v>
      </c>
      <c r="B4" s="2" t="s">
        <v>483</v>
      </c>
      <c r="C4" s="2" t="s">
        <v>396</v>
      </c>
      <c r="D4" s="2" t="s">
        <v>484</v>
      </c>
      <c r="E4" s="2" t="s">
        <v>485</v>
      </c>
      <c r="F4" s="2" t="s">
        <v>190</v>
      </c>
      <c r="G4" s="2" t="s">
        <v>486</v>
      </c>
      <c r="H4" s="2" t="s">
        <v>487</v>
      </c>
    </row>
    <row r="5" spans="1:8" ht="69" customHeight="1" x14ac:dyDescent="0.25">
      <c r="A5" s="1" t="s">
        <v>488</v>
      </c>
      <c r="B5" s="2" t="s">
        <v>489</v>
      </c>
      <c r="C5" s="2" t="s">
        <v>490</v>
      </c>
      <c r="D5" s="2" t="s">
        <v>491</v>
      </c>
      <c r="E5" s="2" t="s">
        <v>181</v>
      </c>
      <c r="F5" s="2" t="s">
        <v>492</v>
      </c>
      <c r="G5" s="2" t="s">
        <v>183</v>
      </c>
      <c r="H5" s="2" t="s">
        <v>184</v>
      </c>
    </row>
    <row r="6" spans="1:8" ht="69" customHeight="1" x14ac:dyDescent="0.25">
      <c r="A6" s="1" t="s">
        <v>493</v>
      </c>
      <c r="B6" s="2" t="s">
        <v>494</v>
      </c>
      <c r="C6" s="2" t="s">
        <v>446</v>
      </c>
      <c r="D6" s="2" t="s">
        <v>495</v>
      </c>
      <c r="E6" s="2" t="s">
        <v>496</v>
      </c>
      <c r="F6" s="2" t="s">
        <v>265</v>
      </c>
      <c r="G6" s="2" t="s">
        <v>497</v>
      </c>
      <c r="H6" s="2" t="s">
        <v>498</v>
      </c>
    </row>
    <row r="7" spans="1:8" ht="69" customHeight="1" x14ac:dyDescent="0.25">
      <c r="A7" s="1" t="s">
        <v>499</v>
      </c>
      <c r="B7" s="2" t="s">
        <v>500</v>
      </c>
      <c r="C7" s="2" t="s">
        <v>501</v>
      </c>
      <c r="D7" s="2" t="s">
        <v>502</v>
      </c>
      <c r="E7" s="2" t="s">
        <v>503</v>
      </c>
      <c r="F7" s="2" t="s">
        <v>352</v>
      </c>
      <c r="G7" s="2" t="s">
        <v>504</v>
      </c>
      <c r="H7" s="2" t="s">
        <v>505</v>
      </c>
    </row>
    <row r="8" spans="1:8" ht="69" customHeight="1" x14ac:dyDescent="0.25">
      <c r="A8" s="1" t="s">
        <v>506</v>
      </c>
      <c r="B8" s="2" t="s">
        <v>507</v>
      </c>
      <c r="C8" s="2" t="s">
        <v>446</v>
      </c>
      <c r="D8" s="2" t="s">
        <v>508</v>
      </c>
      <c r="E8" s="2" t="s">
        <v>509</v>
      </c>
      <c r="F8" s="2" t="s">
        <v>135</v>
      </c>
      <c r="G8" s="2" t="s">
        <v>510</v>
      </c>
      <c r="H8" s="2" t="s">
        <v>432</v>
      </c>
    </row>
    <row r="9" spans="1:8" ht="69" customHeight="1" x14ac:dyDescent="0.25">
      <c r="A9" s="1" t="s">
        <v>511</v>
      </c>
      <c r="B9" s="2" t="s">
        <v>512</v>
      </c>
      <c r="C9" s="2" t="s">
        <v>513</v>
      </c>
      <c r="D9" s="2" t="s">
        <v>287</v>
      </c>
      <c r="E9" s="2" t="s">
        <v>288</v>
      </c>
      <c r="F9" s="2" t="s">
        <v>205</v>
      </c>
      <c r="G9" s="2" t="s">
        <v>289</v>
      </c>
      <c r="H9" s="2" t="s">
        <v>514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1263-B49D-445E-B45E-61E425D2564A}">
  <sheetPr codeName="Sheet12"/>
  <dimension ref="A1:H9"/>
  <sheetViews>
    <sheetView workbookViewId="0">
      <selection activeCell="B2" sqref="B2:H9"/>
    </sheetView>
  </sheetViews>
  <sheetFormatPr defaultColWidth="16.5703125" defaultRowHeight="15" x14ac:dyDescent="0.25"/>
  <sheetData>
    <row r="1" spans="1:8" ht="3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30" x14ac:dyDescent="0.25">
      <c r="A2" s="1" t="s">
        <v>515</v>
      </c>
      <c r="B2" s="2" t="s">
        <v>516</v>
      </c>
      <c r="C2" s="2" t="s">
        <v>517</v>
      </c>
      <c r="D2" s="2" t="s">
        <v>518</v>
      </c>
      <c r="E2" s="2" t="s">
        <v>519</v>
      </c>
      <c r="F2" s="2" t="s">
        <v>229</v>
      </c>
      <c r="G2" s="2" t="s">
        <v>520</v>
      </c>
      <c r="H2" s="2" t="s">
        <v>450</v>
      </c>
    </row>
    <row r="3" spans="1:8" ht="60" x14ac:dyDescent="0.25">
      <c r="A3" s="1" t="s">
        <v>521</v>
      </c>
      <c r="B3" s="2" t="s">
        <v>522</v>
      </c>
      <c r="C3" s="2" t="s">
        <v>523</v>
      </c>
      <c r="D3" s="2" t="s">
        <v>524</v>
      </c>
      <c r="E3" s="2" t="s">
        <v>503</v>
      </c>
      <c r="F3" s="2" t="s">
        <v>454</v>
      </c>
      <c r="G3" s="2" t="s">
        <v>525</v>
      </c>
      <c r="H3" s="2" t="s">
        <v>526</v>
      </c>
    </row>
    <row r="4" spans="1:8" ht="30" x14ac:dyDescent="0.25">
      <c r="A4" s="1" t="s">
        <v>527</v>
      </c>
      <c r="B4" s="2" t="s">
        <v>528</v>
      </c>
      <c r="C4" s="2" t="s">
        <v>446</v>
      </c>
      <c r="D4" s="2" t="s">
        <v>529</v>
      </c>
      <c r="E4" s="2" t="s">
        <v>530</v>
      </c>
      <c r="F4" s="2" t="s">
        <v>135</v>
      </c>
      <c r="G4" s="2" t="s">
        <v>531</v>
      </c>
      <c r="H4" s="2" t="s">
        <v>532</v>
      </c>
    </row>
    <row r="5" spans="1:8" ht="60" x14ac:dyDescent="0.25">
      <c r="A5" s="1" t="s">
        <v>533</v>
      </c>
      <c r="B5" s="2" t="s">
        <v>534</v>
      </c>
      <c r="C5" s="2" t="s">
        <v>535</v>
      </c>
      <c r="D5" s="2" t="s">
        <v>536</v>
      </c>
      <c r="E5" s="2" t="s">
        <v>537</v>
      </c>
      <c r="F5" s="2" t="s">
        <v>221</v>
      </c>
      <c r="G5" s="2" t="s">
        <v>538</v>
      </c>
      <c r="H5" s="2" t="s">
        <v>539</v>
      </c>
    </row>
    <row r="6" spans="1:8" ht="30" x14ac:dyDescent="0.25">
      <c r="A6" s="1" t="s">
        <v>540</v>
      </c>
      <c r="B6" s="2" t="s">
        <v>541</v>
      </c>
      <c r="C6" s="2" t="s">
        <v>446</v>
      </c>
      <c r="D6" s="2" t="s">
        <v>542</v>
      </c>
      <c r="E6" s="2" t="s">
        <v>543</v>
      </c>
      <c r="F6" s="2" t="s">
        <v>338</v>
      </c>
      <c r="G6" s="2" t="s">
        <v>544</v>
      </c>
      <c r="H6" s="2" t="s">
        <v>545</v>
      </c>
    </row>
    <row r="7" spans="1:8" ht="75" x14ac:dyDescent="0.25">
      <c r="A7" s="1" t="s">
        <v>546</v>
      </c>
      <c r="B7" s="2" t="s">
        <v>547</v>
      </c>
      <c r="C7" s="2" t="s">
        <v>396</v>
      </c>
      <c r="D7" s="2" t="s">
        <v>548</v>
      </c>
      <c r="E7" s="2" t="s">
        <v>485</v>
      </c>
      <c r="F7" s="2" t="s">
        <v>454</v>
      </c>
      <c r="G7" s="2" t="s">
        <v>549</v>
      </c>
      <c r="H7" s="2" t="s">
        <v>498</v>
      </c>
    </row>
    <row r="8" spans="1:8" ht="30" x14ac:dyDescent="0.25">
      <c r="A8" s="1" t="s">
        <v>550</v>
      </c>
      <c r="B8" s="2" t="s">
        <v>551</v>
      </c>
      <c r="C8" s="2" t="s">
        <v>157</v>
      </c>
      <c r="D8" s="2" t="s">
        <v>552</v>
      </c>
      <c r="E8" s="2" t="s">
        <v>553</v>
      </c>
      <c r="F8" s="2" t="s">
        <v>229</v>
      </c>
      <c r="G8" s="2" t="s">
        <v>554</v>
      </c>
      <c r="H8" s="2" t="s">
        <v>555</v>
      </c>
    </row>
    <row r="9" spans="1:8" ht="30" x14ac:dyDescent="0.25">
      <c r="A9" s="1" t="s">
        <v>556</v>
      </c>
      <c r="B9" s="2" t="s">
        <v>557</v>
      </c>
      <c r="C9" s="2" t="s">
        <v>435</v>
      </c>
      <c r="D9" s="2" t="s">
        <v>558</v>
      </c>
      <c r="E9" s="2" t="s">
        <v>519</v>
      </c>
      <c r="F9" s="2" t="s">
        <v>159</v>
      </c>
      <c r="G9" s="2" t="s">
        <v>559</v>
      </c>
      <c r="H9" s="2" t="s">
        <v>560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84E2-7903-4F8D-B3AF-52147B79E1BD}">
  <sheetPr codeName="Sheet1"/>
  <dimension ref="A1:C1"/>
  <sheetViews>
    <sheetView workbookViewId="0">
      <selection activeCell="A17" sqref="A17"/>
    </sheetView>
  </sheetViews>
  <sheetFormatPr defaultRowHeight="15" x14ac:dyDescent="0.25"/>
  <cols>
    <col min="1" max="1" width="18" customWidth="1"/>
    <col min="2" max="2" width="31.7109375" customWidth="1"/>
    <col min="3" max="3" width="41.8554687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61E9-E7B7-4007-84CD-CC0C0323CAAE}">
  <sheetPr codeName="Sheet11"/>
  <dimension ref="A1:I81"/>
  <sheetViews>
    <sheetView tabSelected="1" workbookViewId="0">
      <selection activeCell="C9" sqref="C9"/>
    </sheetView>
  </sheetViews>
  <sheetFormatPr defaultColWidth="38.85546875" defaultRowHeight="30.75" customHeight="1" x14ac:dyDescent="0.25"/>
  <cols>
    <col min="1" max="1" width="28.42578125" style="16" bestFit="1" customWidth="1"/>
    <col min="2" max="2" width="34.5703125" style="16" bestFit="1" customWidth="1"/>
    <col min="3" max="3" width="58" style="16" bestFit="1" customWidth="1"/>
    <col min="4" max="4" width="42.28515625" style="16" bestFit="1" customWidth="1"/>
    <col min="5" max="5" width="39.28515625" style="16" bestFit="1" customWidth="1"/>
    <col min="6" max="6" width="44.140625" style="16" bestFit="1" customWidth="1"/>
    <col min="7" max="7" width="36.28515625" style="16" bestFit="1" customWidth="1"/>
    <col min="8" max="8" width="48.42578125" style="16" bestFit="1" customWidth="1"/>
    <col min="9" max="9" width="36.7109375" style="16" bestFit="1" customWidth="1"/>
    <col min="10" max="16384" width="38.85546875" style="16"/>
  </cols>
  <sheetData>
    <row r="1" spans="1:9" ht="30.75" customHeight="1" x14ac:dyDescent="0.25">
      <c r="A1" s="1" t="s">
        <v>0</v>
      </c>
      <c r="B1" s="1" t="s">
        <v>3</v>
      </c>
      <c r="C1" s="16" t="s">
        <v>4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</row>
    <row r="2" spans="1:9" ht="30.75" customHeight="1" x14ac:dyDescent="0.25">
      <c r="A2" s="1" t="s">
        <v>561</v>
      </c>
      <c r="B2" s="2" t="s">
        <v>11</v>
      </c>
      <c r="C2" s="16" t="str">
        <f>'F1'!B2</f>
        <v>Define how decisions are made, by whom, under what authority</v>
      </c>
      <c r="D2" s="16" t="str">
        <f>'F1'!C2</f>
        <v>Mandates, roles, constraints, data, proposals</v>
      </c>
      <c r="E2" s="16" t="str">
        <f>'F1'!D2</f>
        <v>Decisions, approvals, rejections, rationale</v>
      </c>
      <c r="F2" s="16" t="str">
        <f>'F1'!E2</f>
        <v>Unclear authority, decision bottlenecks, capture</v>
      </c>
      <c r="G2" s="16" t="str">
        <f>'F1'!F2</f>
        <v>F3 (data), F4 (feedback), F5 (incentives)</v>
      </c>
      <c r="H2" s="16" t="str">
        <f>'F1'!G2</f>
        <v>Decision latency, decision accuracy, mandate clarity</v>
      </c>
      <c r="I2" s="16" t="str">
        <f>'F1'!H2</f>
        <v>Power concentration, opaque decisions</v>
      </c>
    </row>
    <row r="3" spans="1:9" ht="30.75" customHeight="1" x14ac:dyDescent="0.25">
      <c r="A3" s="1" t="s">
        <v>561</v>
      </c>
      <c r="B3" s="2" t="s">
        <v>19</v>
      </c>
      <c r="C3" s="16" t="str">
        <f>'F1'!B3</f>
        <v>Define structure, roles, responsibilities</v>
      </c>
      <c r="D3" s="16" t="str">
        <f>'F1'!C3</f>
        <v>Org charts, mandates, legal constraints</v>
      </c>
      <c r="E3" s="16" t="str">
        <f>'F1'!D3</f>
        <v>Role definitions, responsibility maps</v>
      </c>
      <c r="F3" s="16" t="str">
        <f>'F1'!E3</f>
        <v>Role ambiguity, duplication, gaps</v>
      </c>
      <c r="G3" s="16" t="str">
        <f>'F1'!F3</f>
        <v>F8 (integration), F10 (standards)</v>
      </c>
      <c r="H3" s="16" t="str">
        <f>'F1'!G3</f>
        <v>Role clarity, overlap index</v>
      </c>
      <c r="I3" s="16" t="str">
        <f>'F1'!H3</f>
        <v>Institutional rigidity</v>
      </c>
    </row>
    <row r="4" spans="1:9" ht="30.75" customHeight="1" x14ac:dyDescent="0.25">
      <c r="A4" s="1" t="s">
        <v>561</v>
      </c>
      <c r="B4" s="2" t="s">
        <v>27</v>
      </c>
      <c r="C4" s="16" t="str">
        <f>'F1'!B4</f>
        <v>Ensure decisions and actions are visible</v>
      </c>
      <c r="D4" s="16" t="str">
        <f>'F1'!C4</f>
        <v>Logs, decisions, data, records</v>
      </c>
      <c r="E4" s="16" t="str">
        <f>'F1'!D4</f>
        <v>Public records, disclosures</v>
      </c>
      <c r="F4" s="16" t="str">
        <f>'F1'!E4</f>
        <v>Hidden actions, incomplete records</v>
      </c>
      <c r="G4" s="16" t="str">
        <f>'F1'!F4</f>
        <v>F3 (audit), F4 (feedback)</v>
      </c>
      <c r="H4" s="16" t="str">
        <f>'F1'!G4</f>
        <v>Transparency coverage, record completeness</v>
      </c>
      <c r="I4" s="16" t="str">
        <f>'F1'!H4</f>
        <v>Privacy leakage</v>
      </c>
    </row>
    <row r="5" spans="1:9" ht="30.75" customHeight="1" x14ac:dyDescent="0.25">
      <c r="A5" s="1" t="s">
        <v>561</v>
      </c>
      <c r="B5" s="2" t="s">
        <v>35</v>
      </c>
      <c r="C5" s="16" t="str">
        <f>'F1'!B5</f>
        <v>Detect and correct misuse, errors, misconduct</v>
      </c>
      <c r="D5" s="16" t="str">
        <f>'F1'!C5</f>
        <v>Reports, audits, complaints</v>
      </c>
      <c r="E5" s="16" t="str">
        <f>'F1'!D5</f>
        <v>Corrective actions, sanctions</v>
      </c>
      <c r="F5" s="16" t="str">
        <f>'F1'!E5</f>
        <v>Oversight capture, weak enforcement</v>
      </c>
      <c r="G5" s="16" t="str">
        <f>'F1'!F5</f>
        <v>F3 (audit), F5 (incentives)</v>
      </c>
      <c r="H5" s="16" t="str">
        <f>'F1'!G5</f>
        <v>Oversight response time, enforcement rate</v>
      </c>
      <c r="I5" s="16" t="str">
        <f>'F1'!H5</f>
        <v>Chilling effects</v>
      </c>
    </row>
    <row r="6" spans="1:9" ht="30.75" customHeight="1" x14ac:dyDescent="0.25">
      <c r="A6" s="1" t="s">
        <v>561</v>
      </c>
      <c r="B6" s="2" t="s">
        <v>43</v>
      </c>
      <c r="C6" s="16" t="str">
        <f>'F1'!B6</f>
        <v>Prevent corruption, conflicts, unethical behaviour</v>
      </c>
      <c r="D6" s="16" t="str">
        <f>'F1'!C6</f>
        <v>Declarations, audits, incentives</v>
      </c>
      <c r="E6" s="16" t="str">
        <f>'F1'!D6</f>
        <v>Integrity reports, conflict flags</v>
      </c>
      <c r="F6" s="16" t="str">
        <f>'F1'!E6</f>
        <v>Corruption, conflicts of interest</v>
      </c>
      <c r="G6" s="16" t="str">
        <f>'F1'!F6</f>
        <v>F5 (incentives), F3 (audit)</v>
      </c>
      <c r="H6" s="16" t="str">
        <f>'F1'!G6</f>
        <v>Conflict detection rate, integrity score</v>
      </c>
      <c r="I6" s="16" t="str">
        <f>'F1'!H6</f>
        <v>Over‑compliance burden</v>
      </c>
    </row>
    <row r="7" spans="1:9" ht="30.75" customHeight="1" x14ac:dyDescent="0.25">
      <c r="A7" s="1" t="s">
        <v>561</v>
      </c>
      <c r="B7" s="2" t="s">
        <v>51</v>
      </c>
      <c r="C7" s="16" t="str">
        <f>'F1'!B7</f>
        <v>Resolve disputes fairly and consistently</v>
      </c>
      <c r="D7" s="16" t="str">
        <f>'F1'!C7</f>
        <v>Complaints, evidence, rules</v>
      </c>
      <c r="E7" s="16" t="str">
        <f>'F1'!D7</f>
        <v>Resolutions, remedies</v>
      </c>
      <c r="F7" s="16" t="str">
        <f>'F1'!E7</f>
        <v>Bias, backlog, inconsistent rulings</v>
      </c>
      <c r="G7" s="16" t="str">
        <f>'F1'!F7</f>
        <v>F4 (feedback), F1 (mandates)</v>
      </c>
      <c r="H7" s="16" t="str">
        <f>'F1'!G7</f>
        <v>Resolution time, fairness index</v>
      </c>
      <c r="I7" s="16" t="str">
        <f>'F1'!H7</f>
        <v>Strategic complaints</v>
      </c>
    </row>
    <row r="8" spans="1:9" ht="30.75" customHeight="1" x14ac:dyDescent="0.25">
      <c r="A8" s="1" t="s">
        <v>561</v>
      </c>
      <c r="B8" s="2" t="s">
        <v>59</v>
      </c>
      <c r="C8" s="16" t="str">
        <f>'F1'!B8</f>
        <v>Ensure decisions escalate or delegate correctly</v>
      </c>
      <c r="D8" s="16" t="str">
        <f>'F1'!C8</f>
        <v>Mandates, thresholds, workflows</v>
      </c>
      <c r="E8" s="16" t="str">
        <f>'F1'!D8</f>
        <v>Escalation events, delegated actions</v>
      </c>
      <c r="F8" s="16" t="str">
        <f>'F1'!E8</f>
        <v>Escalation failure, overload</v>
      </c>
      <c r="G8" s="16" t="str">
        <f>'F1'!F8</f>
        <v>F2 (risk), F8 (integration)</v>
      </c>
      <c r="H8" s="16" t="str">
        <f>'F1'!G8</f>
        <v>Escalation correctness, overload frequency</v>
      </c>
      <c r="I8" s="16" t="str">
        <f>'F1'!H8</f>
        <v>Over‑centralisation</v>
      </c>
    </row>
    <row r="9" spans="1:9" ht="30.75" customHeight="1" x14ac:dyDescent="0.25">
      <c r="A9" s="1" t="s">
        <v>561</v>
      </c>
      <c r="B9" s="2" t="s">
        <v>67</v>
      </c>
      <c r="C9" s="16" t="str">
        <f>'F1'!B9</f>
        <v>Maintain public trust and consent</v>
      </c>
      <c r="D9" s="16" t="str">
        <f>'F1'!C9</f>
        <v>Sentiment, participation, transparency</v>
      </c>
      <c r="E9" s="16" t="str">
        <f>'F1'!D9</f>
        <v>Legitimacy signals, trust reports</v>
      </c>
      <c r="F9" s="16" t="str">
        <f>'F1'!E9</f>
        <v>Loss of legitimacy, disengagement</v>
      </c>
      <c r="G9" s="16" t="str">
        <f>'F1'!F9</f>
        <v>F4 (feedback), F5 (behaviour)</v>
      </c>
      <c r="H9" s="16" t="str">
        <f>'F1'!G9</f>
        <v>Trust index, participation rate</v>
      </c>
      <c r="I9" s="16" t="str">
        <f>'F1'!H9</f>
        <v>Populist capture</v>
      </c>
    </row>
    <row r="10" spans="1:9" ht="30.75" customHeight="1" x14ac:dyDescent="0.25">
      <c r="A10" s="1" t="s">
        <v>562</v>
      </c>
      <c r="B10" s="2" t="s">
        <v>75</v>
      </c>
      <c r="C10" s="16" t="str">
        <f>'F2'!B2</f>
        <v>Detect emerging risks early</v>
      </c>
      <c r="D10" s="16" t="str">
        <f>'F2'!C2</f>
        <v>Sensors, reports, data streams</v>
      </c>
      <c r="E10" s="16" t="str">
        <f>'F2'!D2</f>
        <v>Alerts, warnings</v>
      </c>
      <c r="F10" s="16" t="str">
        <f>'F2'!E2</f>
        <v>Missed signals, false positives</v>
      </c>
      <c r="G10" s="16" t="str">
        <f>'F2'!F2</f>
        <v>F3 (data), F7 (ecology)</v>
      </c>
      <c r="H10" s="16" t="str">
        <f>'F2'!G2</f>
        <v>Detection latency, false‑positive rate</v>
      </c>
      <c r="I10" s="16" t="str">
        <f>'F2'!H2</f>
        <v>Alarm fatigue</v>
      </c>
    </row>
    <row r="11" spans="1:9" ht="30.75" customHeight="1" x14ac:dyDescent="0.25">
      <c r="A11" s="1" t="s">
        <v>562</v>
      </c>
      <c r="B11" s="2" t="s">
        <v>83</v>
      </c>
      <c r="C11" s="16" t="str">
        <f>'F2'!B3</f>
        <v>Rank risks by severity and likelihood</v>
      </c>
      <c r="D11" s="16" t="str">
        <f>'F2'!C3</f>
        <v>Hazard data, models</v>
      </c>
      <c r="E11" s="16" t="str">
        <f>'F2'!D3</f>
        <v>Risk scores, priority lists</v>
      </c>
      <c r="F11" s="16" t="str">
        <f>'F2'!E3</f>
        <v>Mis‑prioritisation, bias</v>
      </c>
      <c r="G11" s="16" t="str">
        <f>'F2'!F3</f>
        <v>F5 (behaviour), F8 (integration)</v>
      </c>
      <c r="H11" s="16" t="str">
        <f>'F2'!G3</f>
        <v>Prioritisation accuracy</v>
      </c>
      <c r="I11" s="16" t="str">
        <f>'F2'!H3</f>
        <v>Resource misallocation</v>
      </c>
    </row>
    <row r="12" spans="1:9" ht="30.75" customHeight="1" x14ac:dyDescent="0.25">
      <c r="A12" s="1" t="s">
        <v>562</v>
      </c>
      <c r="B12" s="2" t="s">
        <v>91</v>
      </c>
      <c r="C12" s="16" t="str">
        <f>'F2'!B4</f>
        <v>Coordinate multi‑actor response</v>
      </c>
      <c r="D12" s="16" t="str">
        <f>'F2'!C4</f>
        <v>Alerts, resources, mandates</v>
      </c>
      <c r="E12" s="16" t="str">
        <f>'F2'!D4</f>
        <v>Coordinated actions</v>
      </c>
      <c r="F12" s="16" t="str">
        <f>'F2'!E4</f>
        <v>Coordination failure</v>
      </c>
      <c r="G12" s="16" t="str">
        <f>'F2'!F4</f>
        <v>F1 (governance), F6 (infrastructure)</v>
      </c>
      <c r="H12" s="16" t="str">
        <f>'F2'!G4</f>
        <v>Response time, coordination score</v>
      </c>
      <c r="I12" s="16" t="str">
        <f>'F2'!H4</f>
        <v>Over‑centralisation</v>
      </c>
    </row>
    <row r="13" spans="1:9" ht="30.75" customHeight="1" x14ac:dyDescent="0.25">
      <c r="A13" s="1" t="s">
        <v>562</v>
      </c>
      <c r="B13" s="2" t="s">
        <v>98</v>
      </c>
      <c r="C13" s="16" t="str">
        <f>'F2'!B5</f>
        <v>Ensure operations survive disruptions</v>
      </c>
      <c r="D13" s="16" t="str">
        <f>'F2'!C5</f>
        <v>Dependencies, workflows</v>
      </c>
      <c r="E13" s="16" t="str">
        <f>'F2'!D5</f>
        <v>Continuity plans</v>
      </c>
      <c r="F13" s="16" t="str">
        <f>'F2'!E5</f>
        <v>Plan failure, outdated plans</v>
      </c>
      <c r="G13" s="16" t="str">
        <f>'F2'!F5</f>
        <v>F8 (integration), F6 (infra)</v>
      </c>
      <c r="H13" s="16" t="str">
        <f>'F2'!G5</f>
        <v>Continuity coverage</v>
      </c>
      <c r="I13" s="16" t="str">
        <f>'F2'!H5</f>
        <v>Over‑resilience cost</v>
      </c>
    </row>
    <row r="14" spans="1:9" ht="30.75" customHeight="1" x14ac:dyDescent="0.25">
      <c r="A14" s="1" t="s">
        <v>562</v>
      </c>
      <c r="B14" s="2" t="s">
        <v>106</v>
      </c>
      <c r="C14" s="16" t="str">
        <f>'F2'!B6</f>
        <v>Manage crisis intensity</v>
      </c>
      <c r="D14" s="16" t="str">
        <f>'F2'!C6</f>
        <v>Thresholds, signals</v>
      </c>
      <c r="E14" s="16" t="str">
        <f>'F2'!D6</f>
        <v>Escalation events</v>
      </c>
      <c r="F14" s="16" t="str">
        <f>'F2'!E6</f>
        <v>Late escalation, premature de‑escalation</v>
      </c>
      <c r="G14" s="16" t="str">
        <f>'F2'!F6</f>
        <v>F1 (delegation), F4 (feedback)</v>
      </c>
      <c r="H14" s="16" t="str">
        <f>'F2'!G6</f>
        <v>Escalation correctness</v>
      </c>
      <c r="I14" s="16" t="str">
        <f>'F2'!H6</f>
        <v>Panic amplification</v>
      </c>
    </row>
    <row r="15" spans="1:9" ht="30.75" customHeight="1" x14ac:dyDescent="0.25">
      <c r="A15" s="1" t="s">
        <v>562</v>
      </c>
      <c r="B15" s="2" t="s">
        <v>114</v>
      </c>
      <c r="C15" s="16" t="str">
        <f>'F2'!B7</f>
        <v>Deploy resources efficiently</v>
      </c>
      <c r="D15" s="16" t="str">
        <f>'F2'!C7</f>
        <v>Inventories, logistics</v>
      </c>
      <c r="E15" s="16" t="str">
        <f>'F2'!D7</f>
        <v>Resource deployments</v>
      </c>
      <c r="F15" s="16" t="str">
        <f>'F2'!E7</f>
        <v>Shortages, misallocation</v>
      </c>
      <c r="G15" s="16" t="str">
        <f>'F2'!F7</f>
        <v>F6 (infra), F2 (coordination)</v>
      </c>
      <c r="H15" s="16" t="str">
        <f>'F2'!G7</f>
        <v>Deployment speed</v>
      </c>
      <c r="I15" s="16" t="str">
        <f>'F2'!H7</f>
        <v>Resource depletion</v>
      </c>
    </row>
    <row r="16" spans="1:9" ht="30.75" customHeight="1" x14ac:dyDescent="0.25">
      <c r="A16" s="1" t="s">
        <v>562</v>
      </c>
      <c r="B16" s="2" t="s">
        <v>122</v>
      </c>
      <c r="C16" s="16" t="str">
        <f>'F2'!B8</f>
        <v>Learn from failures</v>
      </c>
      <c r="D16" s="16" t="str">
        <f>'F2'!C8</f>
        <v>Logs, outcomes</v>
      </c>
      <c r="E16" s="16" t="str">
        <f>'F2'!D8</f>
        <v>Lessons, recommendations</v>
      </c>
      <c r="F16" s="16" t="str">
        <f>'F2'!E8</f>
        <v>Blame games, ignored lessons</v>
      </c>
      <c r="G16" s="16" t="str">
        <f>'F2'!F8</f>
        <v>F3 (audit), F1 (oversight)</v>
      </c>
      <c r="H16" s="16" t="str">
        <f>'F2'!G8</f>
        <v>Lesson adoption rate</v>
      </c>
      <c r="I16" s="16" t="str">
        <f>'F2'!H8</f>
        <v>Over‑correction</v>
      </c>
    </row>
    <row r="17" spans="1:9" ht="30.75" customHeight="1" x14ac:dyDescent="0.25">
      <c r="A17" s="1" t="s">
        <v>562</v>
      </c>
      <c r="B17" s="2" t="s">
        <v>130</v>
      </c>
      <c r="C17" s="16" t="str">
        <f>'F2'!B9</f>
        <v>Align responses across systems</v>
      </c>
      <c r="D17" s="16" t="str">
        <f>'F2'!C9</f>
        <v>Signals, dependencies</v>
      </c>
      <c r="E17" s="16" t="str">
        <f>'F2'!D9</f>
        <v>Synchronised actions</v>
      </c>
      <c r="F17" s="16" t="str">
        <f>'F2'!E9</f>
        <v>Desynchronisation</v>
      </c>
      <c r="G17" s="16" t="str">
        <f>'F2'!F9</f>
        <v>F8 (integration)</v>
      </c>
      <c r="H17" s="16" t="str">
        <f>'F2'!G9</f>
        <v>Sync accuracy</v>
      </c>
      <c r="I17" s="16" t="str">
        <f>'F2'!H9</f>
        <v>Cascading failures</v>
      </c>
    </row>
    <row r="18" spans="1:9" ht="30.75" customHeight="1" x14ac:dyDescent="0.25">
      <c r="A18" s="1" t="s">
        <v>563</v>
      </c>
      <c r="B18" s="2" t="s">
        <v>138</v>
      </c>
      <c r="C18" s="16" t="str">
        <f>'F3'!B2</f>
        <v>Track where data comes from</v>
      </c>
      <c r="D18" s="16" t="str">
        <f>'F3'!C2</f>
        <v>Raw data, metadata</v>
      </c>
      <c r="E18" s="16" t="str">
        <f>'F3'!D2</f>
        <v>Provenance chains</v>
      </c>
      <c r="F18" s="16" t="str">
        <f>'F3'!E2</f>
        <v>Missing lineage</v>
      </c>
      <c r="G18" s="16" t="str">
        <f>'F3'!F2</f>
        <v>F9 (records), F10 (standards)</v>
      </c>
      <c r="H18" s="16" t="str">
        <f>'F3'!G2</f>
        <v>Provenance completeness</v>
      </c>
      <c r="I18" s="16" t="str">
        <f>'F3'!H2</f>
        <v>Privacy exposure</v>
      </c>
    </row>
    <row r="19" spans="1:9" ht="30.75" customHeight="1" x14ac:dyDescent="0.25">
      <c r="A19" s="1" t="s">
        <v>563</v>
      </c>
      <c r="B19" s="2" t="s">
        <v>146</v>
      </c>
      <c r="C19" s="16" t="str">
        <f>'F3'!B3</f>
        <v>Ensure data is correct</v>
      </c>
      <c r="D19" s="16" t="str">
        <f>'F3'!C3</f>
        <v>Data, schemas</v>
      </c>
      <c r="E19" s="16" t="str">
        <f>'F3'!D3</f>
        <v>Validated data</v>
      </c>
      <c r="F19" s="16" t="str">
        <f>'F3'!E3</f>
        <v>Invalid data passing</v>
      </c>
      <c r="G19" s="16" t="str">
        <f>'F3'!F3</f>
        <v>F5 (behaviour), F3 (audit)</v>
      </c>
      <c r="H19" s="16" t="str">
        <f>'F3'!G3</f>
        <v>Validation accuracy</v>
      </c>
      <c r="I19" s="16" t="str">
        <f>'F3'!H3</f>
        <v>Over‑strict validation</v>
      </c>
    </row>
    <row r="20" spans="1:9" ht="30.75" customHeight="1" x14ac:dyDescent="0.25">
      <c r="A20" s="1" t="s">
        <v>563</v>
      </c>
      <c r="B20" s="2" t="s">
        <v>154</v>
      </c>
      <c r="C20" s="16" t="str">
        <f>'F3'!B4</f>
        <v>Record actions and changes</v>
      </c>
      <c r="D20" s="16" t="str">
        <f>'F3'!C4</f>
        <v>Events, actions</v>
      </c>
      <c r="E20" s="16" t="str">
        <f>'F3'!D4</f>
        <v>Logs</v>
      </c>
      <c r="F20" s="16" t="str">
        <f>'F3'!E4</f>
        <v>Log tampering</v>
      </c>
      <c r="G20" s="16" t="str">
        <f>'F3'!F4</f>
        <v>F1 (oversight)</v>
      </c>
      <c r="H20" s="16" t="str">
        <f>'F3'!G4</f>
        <v>Log completeness</v>
      </c>
      <c r="I20" s="16" t="str">
        <f>'F3'!H4</f>
        <v>Storage overhead</v>
      </c>
    </row>
    <row r="21" spans="1:9" ht="30.75" customHeight="1" x14ac:dyDescent="0.25">
      <c r="A21" s="1" t="s">
        <v>563</v>
      </c>
      <c r="B21" s="2" t="s">
        <v>162</v>
      </c>
      <c r="C21" s="16" t="str">
        <f>'F3'!B5</f>
        <v>Maintain data quality</v>
      </c>
      <c r="D21" s="16" t="str">
        <f>'F3'!C5</f>
        <v>Data, rules</v>
      </c>
      <c r="E21" s="16" t="str">
        <f>'F3'!D5</f>
        <v>QA reports</v>
      </c>
      <c r="F21" s="16" t="str">
        <f>'F3'!E5</f>
        <v>Quality drift</v>
      </c>
      <c r="G21" s="16" t="str">
        <f>'F3'!F5</f>
        <v>F8 (integration)</v>
      </c>
      <c r="H21" s="16" t="str">
        <f>'F3'!G5</f>
        <v>Error rate</v>
      </c>
      <c r="I21" s="16" t="str">
        <f>'F3'!H5</f>
        <v>Over‑cleaning</v>
      </c>
    </row>
    <row r="22" spans="1:9" ht="30.75" customHeight="1" x14ac:dyDescent="0.25">
      <c r="A22" s="1" t="s">
        <v>563</v>
      </c>
      <c r="B22" s="2" t="s">
        <v>169</v>
      </c>
      <c r="C22" s="16" t="str">
        <f>'F3'!B6</f>
        <v>Detect manipulation</v>
      </c>
      <c r="D22" s="16" t="str">
        <f>'F3'!C6</f>
        <v>Logs, hashes</v>
      </c>
      <c r="E22" s="16" t="str">
        <f>'F3'!D6</f>
        <v>Alerts</v>
      </c>
      <c r="F22" s="16" t="str">
        <f>'F3'!E6</f>
        <v>Undetected tampering</v>
      </c>
      <c r="G22" s="16" t="str">
        <f>'F3'!F6</f>
        <v>F2 (risk)</v>
      </c>
      <c r="H22" s="16" t="str">
        <f>'F3'!G6</f>
        <v>Detection rate</v>
      </c>
      <c r="I22" s="16" t="str">
        <f>'F3'!H6</f>
        <v>False alarms</v>
      </c>
    </row>
    <row r="23" spans="1:9" ht="30.75" customHeight="1" x14ac:dyDescent="0.25">
      <c r="A23" s="1" t="s">
        <v>563</v>
      </c>
      <c r="B23" s="2" t="s">
        <v>177</v>
      </c>
      <c r="C23" s="16" t="str">
        <f>'F3'!B7</f>
        <v>Ensure correct access</v>
      </c>
      <c r="D23" s="16" t="str">
        <f>'F3'!C7</f>
        <v>Permissions, logs</v>
      </c>
      <c r="E23" s="16" t="str">
        <f>'F3'!D7</f>
        <v>Access reports</v>
      </c>
      <c r="F23" s="16" t="str">
        <f>'F3'!E7</f>
        <v>Privilege creep</v>
      </c>
      <c r="G23" s="16" t="str">
        <f>'F3'!F7</f>
        <v>F9 (auth)</v>
      </c>
      <c r="H23" s="16" t="str">
        <f>'F3'!G7</f>
        <v>Access violations</v>
      </c>
      <c r="I23" s="16" t="str">
        <f>'F3'!H7</f>
        <v>Over‑restriction</v>
      </c>
    </row>
    <row r="24" spans="1:9" ht="30.75" customHeight="1" x14ac:dyDescent="0.25">
      <c r="A24" s="1" t="s">
        <v>563</v>
      </c>
      <c r="B24" s="2" t="s">
        <v>185</v>
      </c>
      <c r="C24" s="16" t="str">
        <f>'F3'!B8</f>
        <v>Preserve data correctly</v>
      </c>
      <c r="D24" s="16" t="str">
        <f>'F3'!C8</f>
        <v>Records, policies</v>
      </c>
      <c r="E24" s="16" t="str">
        <f>'F3'!D8</f>
        <v>Archives</v>
      </c>
      <c r="F24" s="16" t="str">
        <f>'F3'!E8</f>
        <v>Loss, corruption</v>
      </c>
      <c r="G24" s="16" t="str">
        <f>'F3'!F8</f>
        <v>F10 (standards)</v>
      </c>
      <c r="H24" s="16" t="str">
        <f>'F3'!G8</f>
        <v>Retention compliance</v>
      </c>
      <c r="I24" s="16" t="str">
        <f>'F3'!H8</f>
        <v>Storage cost</v>
      </c>
    </row>
    <row r="25" spans="1:9" ht="30.75" customHeight="1" x14ac:dyDescent="0.25">
      <c r="A25" s="1" t="s">
        <v>563</v>
      </c>
      <c r="B25" s="2" t="s">
        <v>193</v>
      </c>
      <c r="C25" s="16" t="str">
        <f>'F3'!B9</f>
        <v>Align data across systems</v>
      </c>
      <c r="D25" s="16" t="str">
        <f>'F3'!C9</f>
        <v>Multiple datasets</v>
      </c>
      <c r="E25" s="16" t="str">
        <f>'F3'!D9</f>
        <v>Reconciled data</v>
      </c>
      <c r="F25" s="16" t="str">
        <f>'F3'!E9</f>
        <v>Inconsistency</v>
      </c>
      <c r="G25" s="16" t="str">
        <f>'F3'!F9</f>
        <v>F8 (integration)</v>
      </c>
      <c r="H25" s="16" t="str">
        <f>'F3'!G9</f>
        <v>Reconciliation accuracy</v>
      </c>
      <c r="I25" s="16" t="str">
        <f>'F3'!H9</f>
        <v>Forced uniformity</v>
      </c>
    </row>
    <row r="26" spans="1:9" ht="30.75" customHeight="1" x14ac:dyDescent="0.25">
      <c r="A26" s="1" t="s">
        <v>564</v>
      </c>
      <c r="B26" s="2" t="s">
        <v>200</v>
      </c>
      <c r="C26" s="16" t="str">
        <f>'F4'!B2</f>
        <v>Track public mood</v>
      </c>
      <c r="D26" s="16" t="str">
        <f>'F4'!C2</f>
        <v>Media, surveys</v>
      </c>
      <c r="E26" s="16" t="str">
        <f>'F4'!D2</f>
        <v>Sentiment signals</v>
      </c>
      <c r="F26" s="16" t="str">
        <f>'F4'!E2</f>
        <v>Misinterpretation</v>
      </c>
      <c r="G26" s="16" t="str">
        <f>'F4'!F2</f>
        <v>F5 (behaviour)</v>
      </c>
      <c r="H26" s="16" t="str">
        <f>'F4'!G2</f>
        <v>Sentiment accuracy</v>
      </c>
      <c r="I26" s="16" t="str">
        <f>'F4'!H2</f>
        <v>Manipulation</v>
      </c>
    </row>
    <row r="27" spans="1:9" ht="30.75" customHeight="1" x14ac:dyDescent="0.25">
      <c r="A27" s="1" t="s">
        <v>564</v>
      </c>
      <c r="B27" s="2" t="s">
        <v>208</v>
      </c>
      <c r="C27" s="16" t="str">
        <f>'F4'!B3</f>
        <v>Capture public input</v>
      </c>
      <c r="D27" s="16" t="str">
        <f>'F4'!C3</f>
        <v>Forms, calls</v>
      </c>
      <c r="E27" s="16" t="str">
        <f>'F4'!D3</f>
        <v>Feedback data</v>
      </c>
      <c r="F27" s="16" t="str">
        <f>'F4'!E3</f>
        <v>Low participation</v>
      </c>
      <c r="G27" s="16" t="str">
        <f>'F4'!F3</f>
        <v>F1 (legitimacy)</v>
      </c>
      <c r="H27" s="16" t="str">
        <f>'F4'!G3</f>
        <v>Participation rate</v>
      </c>
      <c r="I27" s="16" t="str">
        <f>'F4'!H3</f>
        <v>Feedback overload</v>
      </c>
    </row>
    <row r="28" spans="1:9" ht="30.75" customHeight="1" x14ac:dyDescent="0.25">
      <c r="A28" s="1" t="s">
        <v>564</v>
      </c>
      <c r="B28" s="2" t="s">
        <v>216</v>
      </c>
      <c r="C28" s="16" t="str">
        <f>'F4'!B4</f>
        <v>Track cultural shifts</v>
      </c>
      <c r="D28" s="16" t="str">
        <f>'F4'!C4</f>
        <v>Trends, events</v>
      </c>
      <c r="E28" s="16" t="str">
        <f>'F4'!D4</f>
        <v>Cultural indicators</v>
      </c>
      <c r="F28" s="16" t="str">
        <f>'F4'!E4</f>
        <v>Bias</v>
      </c>
      <c r="G28" s="16" t="str">
        <f>'F4'!F4</f>
        <v>F7 (ecology)</v>
      </c>
      <c r="H28" s="16" t="str">
        <f>'F4'!G4</f>
        <v>Cultural drift</v>
      </c>
      <c r="I28" s="16" t="str">
        <f>'F4'!H4</f>
        <v>Cultural homogenisation</v>
      </c>
    </row>
    <row r="29" spans="1:9" ht="30.75" customHeight="1" x14ac:dyDescent="0.25">
      <c r="A29" s="1" t="s">
        <v>564</v>
      </c>
      <c r="B29" s="2" t="s">
        <v>224</v>
      </c>
      <c r="C29" s="16" t="str">
        <f>'F4'!B5</f>
        <v>Maintain community ties</v>
      </c>
      <c r="D29" s="16" t="str">
        <f>'F4'!C5</f>
        <v>Meetings, outreach</v>
      </c>
      <c r="E29" s="16" t="str">
        <f>'F4'!D5</f>
        <v>Engagement reports</v>
      </c>
      <c r="F29" s="16" t="str">
        <f>'F4'!E5</f>
        <v>Tokenism</v>
      </c>
      <c r="G29" s="16" t="str">
        <f>'F4'!F5</f>
        <v>F4 (feedback)</v>
      </c>
      <c r="H29" s="16" t="str">
        <f>'F4'!G5</f>
        <v>Engagement depth</v>
      </c>
      <c r="I29" s="16" t="str">
        <f>'F4'!H5</f>
        <v>Over‑consultation</v>
      </c>
    </row>
    <row r="30" spans="1:9" ht="30.75" customHeight="1" x14ac:dyDescent="0.25">
      <c r="A30" s="1" t="s">
        <v>564</v>
      </c>
      <c r="B30" s="2" t="s">
        <v>232</v>
      </c>
      <c r="C30" s="16" t="str">
        <f>'F4'!B6</f>
        <v>Capture grievances</v>
      </c>
      <c r="D30" s="16" t="str">
        <f>'F4'!C6</f>
        <v>Complaints</v>
      </c>
      <c r="E30" s="16" t="str">
        <f>'F4'!D6</f>
        <v>Cases</v>
      </c>
      <c r="F30" s="16" t="str">
        <f>'F4'!E6</f>
        <v>Backlogs</v>
      </c>
      <c r="G30" s="16" t="str">
        <f>'F4'!F6</f>
        <v>F1 (redress)</v>
      </c>
      <c r="H30" s="16" t="str">
        <f>'F4'!G6</f>
        <v>Resolution time</v>
      </c>
      <c r="I30" s="16" t="str">
        <f>'F4'!H6</f>
        <v>Strategic complaints</v>
      </c>
    </row>
    <row r="31" spans="1:9" ht="30.75" customHeight="1" x14ac:dyDescent="0.25">
      <c r="A31" s="1" t="s">
        <v>564</v>
      </c>
      <c r="B31" s="2" t="s">
        <v>239</v>
      </c>
      <c r="C31" s="16" t="str">
        <f>'F4'!B7</f>
        <v>Track trust levels</v>
      </c>
      <c r="D31" s="16" t="str">
        <f>'F4'!C7</f>
        <v>Sentiment, behaviour</v>
      </c>
      <c r="E31" s="16" t="str">
        <f>'F4'!D7</f>
        <v>Trust reports</v>
      </c>
      <c r="F31" s="16" t="str">
        <f>'F4'!E7</f>
        <v>Misreading trust</v>
      </c>
      <c r="G31" s="16" t="str">
        <f>'F4'!F7</f>
        <v>F1 (legitimacy)</v>
      </c>
      <c r="H31" s="16" t="str">
        <f>'F4'!G7</f>
        <v>Trust index</v>
      </c>
      <c r="I31" s="16" t="str">
        <f>'F4'!H7</f>
        <v>Trust manipulation</v>
      </c>
    </row>
    <row r="32" spans="1:9" ht="30.75" customHeight="1" x14ac:dyDescent="0.25">
      <c r="A32" s="1" t="s">
        <v>564</v>
      </c>
      <c r="B32" s="2" t="s">
        <v>246</v>
      </c>
      <c r="C32" s="16" t="str">
        <f>'F4'!B8</f>
        <v>Communicate clearly</v>
      </c>
      <c r="D32" s="16" t="str">
        <f>'F4'!C8</f>
        <v>Data, decisions</v>
      </c>
      <c r="E32" s="16" t="str">
        <f>'F4'!D8</f>
        <v>Public messages</v>
      </c>
      <c r="F32" s="16" t="str">
        <f>'F4'!E8</f>
        <v>Misinformation</v>
      </c>
      <c r="G32" s="16" t="str">
        <f>'F4'!F8</f>
        <v>F2 (risk)</v>
      </c>
      <c r="H32" s="16" t="str">
        <f>'F4'!G8</f>
        <v>Clarity score</v>
      </c>
      <c r="I32" s="16" t="str">
        <f>'F4'!H8</f>
        <v>Over‑communication</v>
      </c>
    </row>
    <row r="33" spans="1:9" ht="30.75" customHeight="1" x14ac:dyDescent="0.25">
      <c r="A33" s="1" t="s">
        <v>564</v>
      </c>
      <c r="B33" s="2" t="s">
        <v>253</v>
      </c>
      <c r="C33" s="16" t="str">
        <f>'F4'!B9</f>
        <v>Assess cultural effects</v>
      </c>
      <c r="D33" s="16" t="str">
        <f>'F4'!C9</f>
        <v>Policies, actions</v>
      </c>
      <c r="E33" s="16" t="str">
        <f>'F4'!D9</f>
        <v>Impact reports</v>
      </c>
      <c r="F33" s="16" t="str">
        <f>'F4'!E9</f>
        <v>Blind spots</v>
      </c>
      <c r="G33" s="16" t="str">
        <f>'F4'!F9</f>
        <v>F5 (behaviour)</v>
      </c>
      <c r="H33" s="16" t="str">
        <f>'F4'!G9</f>
        <v>Impact accuracy</v>
      </c>
      <c r="I33" s="16" t="str">
        <f>'F4'!H9</f>
        <v>Cultural distortion</v>
      </c>
    </row>
    <row r="34" spans="1:9" ht="30.75" customHeight="1" x14ac:dyDescent="0.25">
      <c r="A34" s="1" t="s">
        <v>565</v>
      </c>
      <c r="B34" s="2" t="s">
        <v>260</v>
      </c>
      <c r="C34" s="16" t="str">
        <f>'F5'!B2</f>
        <v>Predict behaviour</v>
      </c>
      <c r="D34" s="16" t="str">
        <f>'F5'!C2</f>
        <v>Data, signals</v>
      </c>
      <c r="E34" s="16" t="str">
        <f>'F5'!D2</f>
        <v>Models</v>
      </c>
      <c r="F34" s="16" t="str">
        <f>'F5'!E2</f>
        <v>Wrong predictions</v>
      </c>
      <c r="G34" s="16" t="str">
        <f>'F5'!F2</f>
        <v>F3 (data)</v>
      </c>
      <c r="H34" s="16" t="str">
        <f>'F5'!G2</f>
        <v>Model accuracy</v>
      </c>
      <c r="I34" s="16" t="str">
        <f>'F5'!H2</f>
        <v>Behavioural stereotyping</v>
      </c>
    </row>
    <row r="35" spans="1:9" ht="30.75" customHeight="1" x14ac:dyDescent="0.25">
      <c r="A35" s="1" t="s">
        <v>565</v>
      </c>
      <c r="B35" s="2" t="s">
        <v>268</v>
      </c>
      <c r="C35" s="16" t="str">
        <f>'F5'!B3</f>
        <v>Shape behaviour</v>
      </c>
      <c r="D35" s="16" t="str">
        <f>'F5'!C3</f>
        <v>Goals, models</v>
      </c>
      <c r="E35" s="16" t="str">
        <f>'F5'!D3</f>
        <v>Incentives</v>
      </c>
      <c r="F35" s="16" t="str">
        <f>'F5'!E3</f>
        <v>Perverse incentives</v>
      </c>
      <c r="G35" s="16" t="str">
        <f>'F5'!F3</f>
        <v>F1 (governance)</v>
      </c>
      <c r="H35" s="16" t="str">
        <f>'F5'!G3</f>
        <v>Incentive effectiveness</v>
      </c>
      <c r="I35" s="16" t="str">
        <f>'F5'!H3</f>
        <v>Gaming</v>
      </c>
    </row>
    <row r="36" spans="1:9" ht="30.75" customHeight="1" x14ac:dyDescent="0.25">
      <c r="A36" s="1" t="s">
        <v>565</v>
      </c>
      <c r="B36" s="2" t="s">
        <v>276</v>
      </c>
      <c r="C36" s="16" t="str">
        <f>'F5'!B4</f>
        <v>Map influence flows</v>
      </c>
      <c r="D36" s="16" t="str">
        <f>'F5'!C4</f>
        <v>Networks, data</v>
      </c>
      <c r="E36" s="16" t="str">
        <f>'F5'!D4</f>
        <v>Influence maps</v>
      </c>
      <c r="F36" s="16" t="str">
        <f>'F5'!E4</f>
        <v>Misidentification</v>
      </c>
      <c r="G36" s="16" t="str">
        <f>'F5'!F4</f>
        <v>F4 (culture)</v>
      </c>
      <c r="H36" s="16" t="str">
        <f>'F5'!G4</f>
        <v>Influence accuracy</v>
      </c>
      <c r="I36" s="16" t="str">
        <f>'F5'!H4</f>
        <v>Stigmatisation</v>
      </c>
    </row>
    <row r="37" spans="1:9" ht="30.75" customHeight="1" x14ac:dyDescent="0.25">
      <c r="A37" s="1" t="s">
        <v>565</v>
      </c>
      <c r="B37" s="2" t="s">
        <v>284</v>
      </c>
      <c r="C37" s="16" t="str">
        <f>'F5'!B5</f>
        <v>Maintain compliance</v>
      </c>
      <c r="D37" s="16" t="str">
        <f>'F5'!C5</f>
        <v>Rules, incentives</v>
      </c>
      <c r="E37" s="16" t="str">
        <f>'F5'!D5</f>
        <v>Compliance signals</v>
      </c>
      <c r="F37" s="16" t="str">
        <f>'F5'!E5</f>
        <v>Non‑compliance</v>
      </c>
      <c r="G37" s="16" t="str">
        <f>'F5'!F5</f>
        <v>F10 (standards)</v>
      </c>
      <c r="H37" s="16" t="str">
        <f>'F5'!G5</f>
        <v>Compliance rate</v>
      </c>
      <c r="I37" s="16" t="str">
        <f>'F5'!H5</f>
        <v>Over‑policing</v>
      </c>
    </row>
    <row r="38" spans="1:9" ht="30.75" customHeight="1" x14ac:dyDescent="0.25">
      <c r="A38" s="1" t="s">
        <v>565</v>
      </c>
      <c r="B38" s="2" t="s">
        <v>291</v>
      </c>
      <c r="C38" s="16" t="str">
        <f>'F5'!B6</f>
        <v>Detect harmful incentives</v>
      </c>
      <c r="D38" s="16" t="str">
        <f>'F5'!C6</f>
        <v>Behaviour data</v>
      </c>
      <c r="E38" s="16" t="str">
        <f>'F5'!D6</f>
        <v>Alerts</v>
      </c>
      <c r="F38" s="16" t="str">
        <f>'F5'!E6</f>
        <v>Missed incentives</v>
      </c>
      <c r="G38" s="16" t="str">
        <f>'F5'!F6</f>
        <v>F2 (risk)</v>
      </c>
      <c r="H38" s="16" t="str">
        <f>'F5'!G6</f>
        <v>Detection rate</v>
      </c>
      <c r="I38" s="16" t="str">
        <f>'F5'!H6</f>
        <v>False positives</v>
      </c>
    </row>
    <row r="39" spans="1:9" ht="30.75" customHeight="1" x14ac:dyDescent="0.25">
      <c r="A39" s="1" t="s">
        <v>565</v>
      </c>
      <c r="B39" s="2" t="s">
        <v>296</v>
      </c>
      <c r="C39" s="16" t="str">
        <f>'F5'!B7</f>
        <v>Evaluate interventions</v>
      </c>
      <c r="D39" s="16" t="str">
        <f>'F5'!C7</f>
        <v>Data, models</v>
      </c>
      <c r="E39" s="16" t="str">
        <f>'F5'!D7</f>
        <v>Impact reports</v>
      </c>
      <c r="F39" s="16" t="str">
        <f>'F5'!E7</f>
        <v>Misattribution</v>
      </c>
      <c r="G39" s="16" t="str">
        <f>'F5'!F7</f>
        <v>F8 (integration)</v>
      </c>
      <c r="H39" s="16" t="str">
        <f>'F5'!G7</f>
        <v>Impact accuracy</v>
      </c>
      <c r="I39" s="16" t="str">
        <f>'F5'!H7</f>
        <v>Over‑attribution</v>
      </c>
    </row>
    <row r="40" spans="1:9" ht="30.75" customHeight="1" x14ac:dyDescent="0.25">
      <c r="A40" s="1" t="s">
        <v>565</v>
      </c>
      <c r="B40" s="2" t="s">
        <v>301</v>
      </c>
      <c r="C40" s="16" t="str">
        <f>'F5'!B8</f>
        <v>Create adaptive loops</v>
      </c>
      <c r="D40" s="16" t="str">
        <f>'F5'!C8</f>
        <v>Signals, incentives</v>
      </c>
      <c r="E40" s="16" t="str">
        <f>'F5'!D8</f>
        <v>Loops</v>
      </c>
      <c r="F40" s="16" t="str">
        <f>'F5'!E8</f>
        <v>Instability</v>
      </c>
      <c r="G40" s="16" t="str">
        <f>'F5'!F8</f>
        <v>F4 (feedback)</v>
      </c>
      <c r="H40" s="16" t="str">
        <f>'F5'!G8</f>
        <v>Loop stability</v>
      </c>
      <c r="I40" s="16" t="str">
        <f>'F5'!H8</f>
        <v>Over‑tight coupling</v>
      </c>
    </row>
    <row r="41" spans="1:9" ht="30.75" customHeight="1" x14ac:dyDescent="0.25">
      <c r="A41" s="1" t="s">
        <v>565</v>
      </c>
      <c r="B41" s="2" t="s">
        <v>308</v>
      </c>
      <c r="C41" s="16" t="str">
        <f>'F5'!B9</f>
        <v>Track behavioural risks</v>
      </c>
      <c r="D41" s="16" t="str">
        <f>'F5'!C9</f>
        <v>Signals, models</v>
      </c>
      <c r="E41" s="16" t="str">
        <f>'F5'!D9</f>
        <v>Risk alerts</v>
      </c>
      <c r="F41" s="16" t="str">
        <f>'F5'!E9</f>
        <v>Blind spots</v>
      </c>
      <c r="G41" s="16" t="str">
        <f>'F5'!F9</f>
        <v>F2 (risk)</v>
      </c>
      <c r="H41" s="16" t="str">
        <f>'F5'!G9</f>
        <v>Risk detection</v>
      </c>
      <c r="I41" s="16" t="str">
        <f>'F5'!H9</f>
        <v>Behavioural panic</v>
      </c>
    </row>
    <row r="42" spans="1:9" ht="30.75" customHeight="1" x14ac:dyDescent="0.25">
      <c r="A42" s="1" t="s">
        <v>566</v>
      </c>
      <c r="B42" s="2" t="s">
        <v>314</v>
      </c>
      <c r="C42" s="16" t="str">
        <f>'F6'!B2</f>
        <v>Provide energy</v>
      </c>
      <c r="D42" s="16" t="str">
        <f>'F6'!C2</f>
        <v>Fuel, grid data</v>
      </c>
      <c r="E42" s="16" t="str">
        <f>'F6'!D2</f>
        <v>Power</v>
      </c>
      <c r="F42" s="16" t="str">
        <f>'F6'!E2</f>
        <v>Outages</v>
      </c>
      <c r="G42" s="16" t="str">
        <f>'F6'!F2</f>
        <v>F2 (risk)</v>
      </c>
      <c r="H42" s="16" t="str">
        <f>'F6'!G2</f>
        <v>Uptime</v>
      </c>
      <c r="I42" s="16" t="str">
        <f>'F6'!H2</f>
        <v>Emissions</v>
      </c>
    </row>
    <row r="43" spans="1:9" ht="30.75" customHeight="1" x14ac:dyDescent="0.25">
      <c r="A43" s="1" t="s">
        <v>566</v>
      </c>
      <c r="B43" s="2" t="s">
        <v>321</v>
      </c>
      <c r="C43" s="16" t="str">
        <f>'F6'!B3</f>
        <v>Provide water, manage waste</v>
      </c>
      <c r="D43" s="16" t="str">
        <f>'F6'!C3</f>
        <v>Water, waste</v>
      </c>
      <c r="E43" s="16" t="str">
        <f>'F6'!D3</f>
        <v>Clean water, disposal</v>
      </c>
      <c r="F43" s="16" t="str">
        <f>'F6'!E3</f>
        <v>Contamination</v>
      </c>
      <c r="G43" s="16" t="str">
        <f>'F6'!F3</f>
        <v>F7 (ecology)</v>
      </c>
      <c r="H43" s="16" t="str">
        <f>'F6'!G3</f>
        <v>Quality index</v>
      </c>
      <c r="I43" s="16" t="str">
        <f>'F6'!H3</f>
        <v>Pollution</v>
      </c>
    </row>
    <row r="44" spans="1:9" ht="30.75" customHeight="1" x14ac:dyDescent="0.25">
      <c r="A44" s="1" t="s">
        <v>566</v>
      </c>
      <c r="B44" s="2" t="s">
        <v>328</v>
      </c>
      <c r="C44" s="16" t="str">
        <f>'F6'!B4</f>
        <v>Move people &amp; goods</v>
      </c>
      <c r="D44" s="16" t="str">
        <f>'F6'!C4</f>
        <v>Vehicles, routes</v>
      </c>
      <c r="E44" s="16" t="str">
        <f>'F6'!D4</f>
        <v>Transport</v>
      </c>
      <c r="F44" s="16" t="str">
        <f>'F6'!E4</f>
        <v>Congestion</v>
      </c>
      <c r="G44" s="16" t="str">
        <f>'F6'!F4</f>
        <v>F8 (integration)</v>
      </c>
      <c r="H44" s="16" t="str">
        <f>'F6'!G4</f>
        <v>Throughput</v>
      </c>
      <c r="I44" s="16" t="str">
        <f>'F6'!H4</f>
        <v>Emissions</v>
      </c>
    </row>
    <row r="45" spans="1:9" ht="30.75" customHeight="1" x14ac:dyDescent="0.25">
      <c r="A45" s="1" t="s">
        <v>566</v>
      </c>
      <c r="B45" s="2" t="s">
        <v>334</v>
      </c>
      <c r="C45" s="16" t="str">
        <f>'F6'!B5</f>
        <v>Provide connectivity</v>
      </c>
      <c r="D45" s="16" t="str">
        <f>'F6'!C5</f>
        <v>Networks</v>
      </c>
      <c r="E45" s="16" t="str">
        <f>'F6'!D5</f>
        <v>Connectivity</v>
      </c>
      <c r="F45" s="16" t="str">
        <f>'F6'!E5</f>
        <v>Outages</v>
      </c>
      <c r="G45" s="16" t="str">
        <f>'F6'!F5</f>
        <v>F9 (protocols)</v>
      </c>
      <c r="H45" s="16" t="str">
        <f>'F6'!G5</f>
        <v>Latency</v>
      </c>
      <c r="I45" s="16" t="str">
        <f>'F6'!H5</f>
        <v>Surveillance</v>
      </c>
    </row>
    <row r="46" spans="1:9" ht="30.75" customHeight="1" x14ac:dyDescent="0.25">
      <c r="A46" s="1" t="s">
        <v>566</v>
      </c>
      <c r="B46" s="2" t="s">
        <v>341</v>
      </c>
      <c r="C46" s="16" t="str">
        <f>'F6'!B6</f>
        <v>Provide materials</v>
      </c>
      <c r="D46" s="16" t="str">
        <f>'F6'!C6</f>
        <v>Suppliers</v>
      </c>
      <c r="E46" s="16" t="str">
        <f>'F6'!D6</f>
        <v>Materials</v>
      </c>
      <c r="F46" s="16" t="str">
        <f>'F6'!E6</f>
        <v>Shortages</v>
      </c>
      <c r="G46" s="16" t="str">
        <f>'F6'!F6</f>
        <v>F2 (risk)</v>
      </c>
      <c r="H46" s="16" t="str">
        <f>'F6'!G6</f>
        <v>Supply stability</v>
      </c>
      <c r="I46" s="16" t="str">
        <f>'F6'!H6</f>
        <v>Resource depletion</v>
      </c>
    </row>
    <row r="47" spans="1:9" ht="30.75" customHeight="1" x14ac:dyDescent="0.25">
      <c r="A47" s="1" t="s">
        <v>566</v>
      </c>
      <c r="B47" s="2" t="s">
        <v>347</v>
      </c>
      <c r="C47" s="16" t="str">
        <f>'F6'!B7</f>
        <v>Manage buildings</v>
      </c>
      <c r="D47" s="16" t="str">
        <f>'F6'!C7</f>
        <v>Assets</v>
      </c>
      <c r="E47" s="16" t="str">
        <f>'F6'!D7</f>
        <v>Facilities</v>
      </c>
      <c r="F47" s="16" t="str">
        <f>'F6'!E7</f>
        <v>Decay</v>
      </c>
      <c r="G47" s="16" t="str">
        <f>'F6'!F7</f>
        <v>F6 (infra)</v>
      </c>
      <c r="H47" s="16" t="str">
        <f>'F6'!G7</f>
        <v>Maintenance score</v>
      </c>
      <c r="I47" s="16" t="str">
        <f>'F6'!H7</f>
        <v>Over‑building</v>
      </c>
    </row>
    <row r="48" spans="1:9" ht="30.75" customHeight="1" x14ac:dyDescent="0.25">
      <c r="A48" s="1" t="s">
        <v>566</v>
      </c>
      <c r="B48" s="2" t="s">
        <v>355</v>
      </c>
      <c r="C48" s="16" t="str">
        <f>'F6'!B8</f>
        <v>Maintain assets</v>
      </c>
      <c r="D48" s="16" t="str">
        <f>'F6'!C8</f>
        <v>Schedules</v>
      </c>
      <c r="E48" s="16" t="str">
        <f>'F6'!D8</f>
        <v>Maintenance</v>
      </c>
      <c r="F48" s="16" t="str">
        <f>'F6'!E8</f>
        <v>Failure</v>
      </c>
      <c r="G48" s="16" t="str">
        <f>'F6'!F8</f>
        <v>F2 (risk)</v>
      </c>
      <c r="H48" s="16" t="str">
        <f>'F6'!G8</f>
        <v>Failure rate</v>
      </c>
      <c r="I48" s="16" t="str">
        <f>'F6'!H8</f>
        <v>Over‑maintenance</v>
      </c>
    </row>
    <row r="49" spans="1:9" ht="30.75" customHeight="1" x14ac:dyDescent="0.25">
      <c r="A49" s="1" t="s">
        <v>566</v>
      </c>
      <c r="B49" s="2" t="s">
        <v>362</v>
      </c>
      <c r="C49" s="16" t="str">
        <f>'F6'!B9</f>
        <v>Ensure robustness</v>
      </c>
      <c r="D49" s="16" t="str">
        <f>'F6'!C9</f>
        <v>Stress tests</v>
      </c>
      <c r="E49" s="16" t="str">
        <f>'F6'!D9</f>
        <v>Resilience plans</v>
      </c>
      <c r="F49" s="16" t="str">
        <f>'F6'!E9</f>
        <v>Collapse</v>
      </c>
      <c r="G49" s="16" t="str">
        <f>'F6'!F9</f>
        <v>F8 (integration)</v>
      </c>
      <c r="H49" s="16" t="str">
        <f>'F6'!G9</f>
        <v>Resilience index</v>
      </c>
      <c r="I49" s="16" t="str">
        <f>'F6'!H9</f>
        <v>Over‑redundancy</v>
      </c>
    </row>
    <row r="50" spans="1:9" ht="30.75" customHeight="1" x14ac:dyDescent="0.25">
      <c r="A50" s="1" t="s">
        <v>567</v>
      </c>
      <c r="B50" s="2" t="s">
        <v>369</v>
      </c>
      <c r="C50" s="16" t="str">
        <f>'F7'!B2</f>
        <v>Track climate</v>
      </c>
      <c r="D50" s="16" t="str">
        <f>'F7'!C2</f>
        <v>Sensors</v>
      </c>
      <c r="E50" s="16" t="str">
        <f>'F7'!D2</f>
        <v>Climate signals</v>
      </c>
      <c r="F50" s="16" t="str">
        <f>'F7'!E2</f>
        <v>Blind spots</v>
      </c>
      <c r="G50" s="16" t="str">
        <f>'F7'!F2</f>
        <v>F2 (risk)</v>
      </c>
      <c r="H50" s="16" t="str">
        <f>'F7'!G2</f>
        <v>Accuracy</v>
      </c>
      <c r="I50" s="16" t="str">
        <f>'F7'!H2</f>
        <v>Alarm fatigue</v>
      </c>
    </row>
    <row r="51" spans="1:9" ht="30.75" customHeight="1" x14ac:dyDescent="0.25">
      <c r="A51" s="1" t="s">
        <v>567</v>
      </c>
      <c r="B51" s="2" t="s">
        <v>374</v>
      </c>
      <c r="C51" s="16" t="str">
        <f>'F7'!B3</f>
        <v>Track ecosystems</v>
      </c>
      <c r="D51" s="16" t="str">
        <f>'F7'!C3</f>
        <v>Surveys</v>
      </c>
      <c r="E51" s="16" t="str">
        <f>'F7'!D3</f>
        <v>Biodiversity index</v>
      </c>
      <c r="F51" s="16" t="str">
        <f>'F7'!E3</f>
        <v>Miscounts</v>
      </c>
      <c r="G51" s="16" t="str">
        <f>'F7'!F3</f>
        <v>F7 (ecology)</v>
      </c>
      <c r="H51" s="16" t="str">
        <f>'F7'!G3</f>
        <v>Species index</v>
      </c>
      <c r="I51" s="16" t="str">
        <f>'F7'!H3</f>
        <v>Over‑intervention</v>
      </c>
    </row>
    <row r="52" spans="1:9" ht="30.75" customHeight="1" x14ac:dyDescent="0.25">
      <c r="A52" s="1" t="s">
        <v>567</v>
      </c>
      <c r="B52" s="2" t="s">
        <v>381</v>
      </c>
      <c r="C52" s="16" t="str">
        <f>'F7'!B4</f>
        <v>Track pollutants</v>
      </c>
      <c r="D52" s="16" t="str">
        <f>'F7'!C4</f>
        <v>Sensors</v>
      </c>
      <c r="E52" s="16" t="str">
        <f>'F7'!D4</f>
        <v>Pollution maps</v>
      </c>
      <c r="F52" s="16" t="str">
        <f>'F7'!E4</f>
        <v>Missed pollution</v>
      </c>
      <c r="G52" s="16" t="str">
        <f>'F7'!F4</f>
        <v>F6 (infra)</v>
      </c>
      <c r="H52" s="16" t="str">
        <f>'F7'!G4</f>
        <v>Pollution levels</v>
      </c>
      <c r="I52" s="16" t="str">
        <f>'F7'!H4</f>
        <v>Panic</v>
      </c>
    </row>
    <row r="53" spans="1:9" ht="30.75" customHeight="1" x14ac:dyDescent="0.25">
      <c r="A53" s="1" t="s">
        <v>567</v>
      </c>
      <c r="B53" s="2" t="s">
        <v>387</v>
      </c>
      <c r="C53" s="16" t="str">
        <f>'F7'!B5</f>
        <v>Manage land/water</v>
      </c>
      <c r="D53" s="16" t="str">
        <f>'F7'!C5</f>
        <v>Maps</v>
      </c>
      <c r="E53" s="16" t="str">
        <f>'F7'!D5</f>
        <v>Stewardship plans</v>
      </c>
      <c r="F53" s="16" t="str">
        <f>'F7'!E5</f>
        <v>Mismanagement</v>
      </c>
      <c r="G53" s="16" t="str">
        <f>'F7'!F5</f>
        <v>F10 (standards)</v>
      </c>
      <c r="H53" s="16" t="str">
        <f>'F7'!G5</f>
        <v>Stewardship score</v>
      </c>
      <c r="I53" s="16" t="str">
        <f>'F7'!H5</f>
        <v>Displacement</v>
      </c>
    </row>
    <row r="54" spans="1:9" ht="30.75" customHeight="1" x14ac:dyDescent="0.25">
      <c r="A54" s="1" t="s">
        <v>567</v>
      </c>
      <c r="B54" s="2" t="s">
        <v>394</v>
      </c>
      <c r="C54" s="16" t="str">
        <f>'F7'!B6</f>
        <v>Restore ecosystems</v>
      </c>
      <c r="D54" s="16" t="str">
        <f>'F7'!C6</f>
        <v>Data</v>
      </c>
      <c r="E54" s="16" t="str">
        <f>'F7'!D6</f>
        <v>Regeneration plans</v>
      </c>
      <c r="F54" s="16" t="str">
        <f>'F7'!E6</f>
        <v>Failure</v>
      </c>
      <c r="G54" s="16" t="str">
        <f>'F7'!F6</f>
        <v>F5 (behaviour)</v>
      </c>
      <c r="H54" s="16" t="str">
        <f>'F7'!G6</f>
        <v>Regeneration rate</v>
      </c>
      <c r="I54" s="16" t="str">
        <f>'F7'!H6</f>
        <v>Over‑restoration</v>
      </c>
    </row>
    <row r="55" spans="1:9" ht="30.75" customHeight="1" x14ac:dyDescent="0.25">
      <c r="A55" s="1" t="s">
        <v>567</v>
      </c>
      <c r="B55" s="2" t="s">
        <v>400</v>
      </c>
      <c r="C55" s="16" t="str">
        <f>'F7'!B7</f>
        <v>Assess ecological risks</v>
      </c>
      <c r="D55" s="16" t="str">
        <f>'F7'!C7</f>
        <v>Data</v>
      </c>
      <c r="E55" s="16" t="str">
        <f>'F7'!D7</f>
        <v>Risk reports</v>
      </c>
      <c r="F55" s="16" t="str">
        <f>'F7'!E7</f>
        <v>Mis‑ranking</v>
      </c>
      <c r="G55" s="16" t="str">
        <f>'F7'!F7</f>
        <v>F2 (risk)</v>
      </c>
      <c r="H55" s="16" t="str">
        <f>'F7'!G7</f>
        <v>Risk accuracy</v>
      </c>
      <c r="I55" s="16" t="str">
        <f>'F7'!H7</f>
        <v>Over‑caution</v>
      </c>
    </row>
    <row r="56" spans="1:9" ht="30.75" customHeight="1" x14ac:dyDescent="0.25">
      <c r="A56" s="1" t="s">
        <v>567</v>
      </c>
      <c r="B56" s="2" t="s">
        <v>406</v>
      </c>
      <c r="C56" s="16" t="str">
        <f>'F7'!B8</f>
        <v>Track boundary use</v>
      </c>
      <c r="D56" s="16" t="str">
        <f>'F7'!C8</f>
        <v>Indicators</v>
      </c>
      <c r="E56" s="16" t="str">
        <f>'F7'!D8</f>
        <v>Compliance reports</v>
      </c>
      <c r="F56" s="16" t="str">
        <f>'F7'!E8</f>
        <v>Boundary breach</v>
      </c>
      <c r="G56" s="16" t="str">
        <f>'F7'!F8</f>
        <v>F8 (integration)</v>
      </c>
      <c r="H56" s="16" t="str">
        <f>'F7'!G8</f>
        <v>Boundary index</v>
      </c>
      <c r="I56" s="16" t="str">
        <f>'F7'!H8</f>
        <v>Restrictive policies</v>
      </c>
    </row>
    <row r="57" spans="1:9" ht="30.75" customHeight="1" x14ac:dyDescent="0.25">
      <c r="A57" s="1" t="s">
        <v>567</v>
      </c>
      <c r="B57" s="2" t="s">
        <v>413</v>
      </c>
      <c r="C57" s="16" t="str">
        <f>'F7'!B9</f>
        <v>Map externalities</v>
      </c>
      <c r="D57" s="16" t="str">
        <f>'F7'!C9</f>
        <v>Data</v>
      </c>
      <c r="E57" s="16" t="str">
        <f>'F7'!D9</f>
        <v>Externality maps</v>
      </c>
      <c r="F57" s="16" t="str">
        <f>'F7'!E9</f>
        <v>Blind spots</v>
      </c>
      <c r="G57" s="16" t="str">
        <f>'F7'!F9</f>
        <v>F3 (data)</v>
      </c>
      <c r="H57" s="16" t="str">
        <f>'F7'!G9</f>
        <v>Externality accuracy</v>
      </c>
      <c r="I57" s="16" t="str">
        <f>'F7'!H9</f>
        <v>Over‑correction</v>
      </c>
    </row>
    <row r="58" spans="1:9" ht="30.75" customHeight="1" x14ac:dyDescent="0.25">
      <c r="A58" s="1" t="s">
        <v>568</v>
      </c>
      <c r="B58" s="2" t="s">
        <v>417</v>
      </c>
      <c r="C58" s="16" t="str">
        <f>'F8'!B2</f>
        <v>Map dependencies</v>
      </c>
      <c r="D58" s="16" t="str">
        <f>'F8'!C2</f>
        <v>Workflows</v>
      </c>
      <c r="E58" s="16" t="str">
        <f>'F8'!D2</f>
        <v>Dependency graphs</v>
      </c>
      <c r="F58" s="16" t="str">
        <f>'F8'!E2</f>
        <v>Missing links</v>
      </c>
      <c r="G58" s="16" t="str">
        <f>'F8'!F2</f>
        <v>All Families</v>
      </c>
      <c r="H58" s="16" t="str">
        <f>'F8'!G2</f>
        <v>Graph completeness</v>
      </c>
      <c r="I58" s="16" t="str">
        <f>'F8'!H2</f>
        <v>Over‑mapping</v>
      </c>
    </row>
    <row r="59" spans="1:9" ht="30.75" customHeight="1" x14ac:dyDescent="0.25">
      <c r="A59" s="1" t="s">
        <v>568</v>
      </c>
      <c r="B59" s="2" t="s">
        <v>425</v>
      </c>
      <c r="C59" s="16" t="str">
        <f>'F8'!B3</f>
        <v>Integrate workflows</v>
      </c>
      <c r="D59" s="16" t="str">
        <f>'F8'!C3</f>
        <v>Processes</v>
      </c>
      <c r="E59" s="16" t="str">
        <f>'F8'!D3</f>
        <v>Integrated flows</v>
      </c>
      <c r="F59" s="16" t="str">
        <f>'F8'!E3</f>
        <v>Breaks</v>
      </c>
      <c r="G59" s="16" t="str">
        <f>'F8'!F3</f>
        <v>F1–F10</v>
      </c>
      <c r="H59" s="16" t="str">
        <f>'F8'!G3</f>
        <v>Integration score</v>
      </c>
      <c r="I59" s="16" t="str">
        <f>'F8'!H3</f>
        <v>Over‑coupling</v>
      </c>
    </row>
    <row r="60" spans="1:9" ht="30.75" customHeight="1" x14ac:dyDescent="0.25">
      <c r="A60" s="1" t="s">
        <v>568</v>
      </c>
      <c r="B60" s="2" t="s">
        <v>433</v>
      </c>
      <c r="C60" s="16" t="str">
        <f>'F8'!B4</f>
        <v>Track externalities</v>
      </c>
      <c r="D60" s="16" t="str">
        <f>'F8'!C4</f>
        <v>Signals</v>
      </c>
      <c r="E60" s="16" t="str">
        <f>'F8'!D4</f>
        <v>Propagation maps</v>
      </c>
      <c r="F60" s="16" t="str">
        <f>'F8'!E4</f>
        <v>Missed propagation</v>
      </c>
      <c r="G60" s="16" t="str">
        <f>'F8'!F4</f>
        <v>F7 (ecology)</v>
      </c>
      <c r="H60" s="16" t="str">
        <f>'F8'!G4</f>
        <v>Propagation accuracy</v>
      </c>
      <c r="I60" s="16" t="str">
        <f>'F8'!H4</f>
        <v>Panic</v>
      </c>
    </row>
    <row r="61" spans="1:9" ht="30.75" customHeight="1" x14ac:dyDescent="0.25">
      <c r="A61" s="1" t="s">
        <v>568</v>
      </c>
      <c r="B61" s="2" t="s">
        <v>439</v>
      </c>
      <c r="C61" s="16" t="str">
        <f>'F8'!B5</f>
        <v>Monitor system health</v>
      </c>
      <c r="D61" s="16" t="str">
        <f>'F8'!C5</f>
        <v>Metrics</v>
      </c>
      <c r="E61" s="16" t="str">
        <f>'F8'!D5</f>
        <v>Health index</v>
      </c>
      <c r="F61" s="16" t="str">
        <f>'F8'!E5</f>
        <v>Blind spots</v>
      </c>
      <c r="G61" s="16" t="str">
        <f>'F8'!F5</f>
        <v>F4 (feedback)</v>
      </c>
      <c r="H61" s="16" t="str">
        <f>'F8'!G5</f>
        <v>Health accuracy</v>
      </c>
      <c r="I61" s="16" t="str">
        <f>'F8'!H5</f>
        <v>Over‑reaction</v>
      </c>
    </row>
    <row r="62" spans="1:9" ht="30.75" customHeight="1" x14ac:dyDescent="0.25">
      <c r="A62" s="1" t="s">
        <v>568</v>
      </c>
      <c r="B62" s="2" t="s">
        <v>444</v>
      </c>
      <c r="C62" s="16" t="str">
        <f>'F8'!B6</f>
        <v>Ensure interoperability</v>
      </c>
      <c r="D62" s="16" t="str">
        <f>'F8'!C6</f>
        <v>Standards</v>
      </c>
      <c r="E62" s="16" t="str">
        <f>'F8'!D6</f>
        <v>Interop reports</v>
      </c>
      <c r="F62" s="16" t="str">
        <f>'F8'!E6</f>
        <v>Incompatibility</v>
      </c>
      <c r="G62" s="16" t="str">
        <f>'F8'!F6</f>
        <v>F10 (standards)</v>
      </c>
      <c r="H62" s="16" t="str">
        <f>'F8'!G6</f>
        <v>Interop score</v>
      </c>
      <c r="I62" s="16" t="str">
        <f>'F8'!H6</f>
        <v>Over‑standardisation</v>
      </c>
    </row>
    <row r="63" spans="1:9" ht="30.75" customHeight="1" x14ac:dyDescent="0.25">
      <c r="A63" s="1" t="s">
        <v>568</v>
      </c>
      <c r="B63" s="2" t="s">
        <v>451</v>
      </c>
      <c r="C63" s="16" t="str">
        <f>'F8'!B7</f>
        <v>Detect integration failures</v>
      </c>
      <c r="D63" s="16" t="str">
        <f>'F8'!C7</f>
        <v>Logs</v>
      </c>
      <c r="E63" s="16" t="str">
        <f>'F8'!D7</f>
        <v>Alerts</v>
      </c>
      <c r="F63" s="16" t="str">
        <f>'F8'!E7</f>
        <v>Missed failures</v>
      </c>
      <c r="G63" s="16" t="str">
        <f>'F8'!F7</f>
        <v>F3 (audit)</v>
      </c>
      <c r="H63" s="16" t="str">
        <f>'F8'!G7</f>
        <v>Detection rate</v>
      </c>
      <c r="I63" s="16" t="str">
        <f>'F8'!H7</f>
        <v>False alarms</v>
      </c>
    </row>
    <row r="64" spans="1:9" ht="30.75" customHeight="1" x14ac:dyDescent="0.25">
      <c r="A64" s="1" t="s">
        <v>568</v>
      </c>
      <c r="B64" s="2" t="s">
        <v>455</v>
      </c>
      <c r="C64" s="16" t="str">
        <f>'F8'!B8</f>
        <v>Coordinate systems</v>
      </c>
      <c r="D64" s="16" t="str">
        <f>'F8'!C8</f>
        <v>Signals</v>
      </c>
      <c r="E64" s="16" t="str">
        <f>'F8'!D8</f>
        <v>Coordination events</v>
      </c>
      <c r="F64" s="16" t="str">
        <f>'F8'!E8</f>
        <v>Mis‑coordination</v>
      </c>
      <c r="G64" s="16" t="str">
        <f>'F8'!F8</f>
        <v>F2 (risk)</v>
      </c>
      <c r="H64" s="16" t="str">
        <f>'F8'!G8</f>
        <v>Coordination score</v>
      </c>
      <c r="I64" s="16" t="str">
        <f>'F8'!H8</f>
        <v>Over‑coordination</v>
      </c>
    </row>
    <row r="65" spans="1:9" ht="30.75" customHeight="1" x14ac:dyDescent="0.25">
      <c r="A65" s="1" t="s">
        <v>568</v>
      </c>
      <c r="B65" s="2" t="s">
        <v>461</v>
      </c>
      <c r="C65" s="16" t="str">
        <f>'F8'!B9</f>
        <v>Govern the whole system</v>
      </c>
      <c r="D65" s="16" t="str">
        <f>'F8'!C9</f>
        <v>All inputs</v>
      </c>
      <c r="E65" s="16" t="str">
        <f>'F8'!D9</f>
        <v>Governance signals</v>
      </c>
      <c r="F65" s="16" t="str">
        <f>'F8'!E9</f>
        <v>Overreach</v>
      </c>
      <c r="G65" s="16" t="str">
        <f>'F8'!F9</f>
        <v>F1 (governance)</v>
      </c>
      <c r="H65" s="16" t="str">
        <f>'F8'!G9</f>
        <v>Governance clarity</v>
      </c>
      <c r="I65" s="16" t="str">
        <f>'F8'!H9</f>
        <v>Centralisation</v>
      </c>
    </row>
    <row r="66" spans="1:9" ht="30.75" customHeight="1" x14ac:dyDescent="0.25">
      <c r="A66" s="1" t="s">
        <v>569</v>
      </c>
      <c r="B66" s="2" t="s">
        <v>468</v>
      </c>
      <c r="C66" s="16" t="str">
        <f>'F9'!B2</f>
        <v>Identify actors</v>
      </c>
      <c r="D66" s="16" t="str">
        <f>'F9'!C2</f>
        <v>Credentials</v>
      </c>
      <c r="E66" s="16" t="str">
        <f>'F9'!D2</f>
        <v>Auth events</v>
      </c>
      <c r="F66" s="16" t="str">
        <f>'F9'!E2</f>
        <v>Identity theft</v>
      </c>
      <c r="G66" s="16" t="str">
        <f>'F9'!F2</f>
        <v>F3 (audit)</v>
      </c>
      <c r="H66" s="16" t="str">
        <f>'F9'!G2</f>
        <v>Auth accuracy</v>
      </c>
      <c r="I66" s="16" t="str">
        <f>'F9'!H2</f>
        <v>Exclusion</v>
      </c>
    </row>
    <row r="67" spans="1:9" ht="30.75" customHeight="1" x14ac:dyDescent="0.25">
      <c r="A67" s="1" t="s">
        <v>569</v>
      </c>
      <c r="B67" s="2" t="s">
        <v>475</v>
      </c>
      <c r="C67" s="16" t="str">
        <f>'F9'!B3</f>
        <v>Enable communication</v>
      </c>
      <c r="D67" s="16" t="str">
        <f>'F9'!C3</f>
        <v>Messages</v>
      </c>
      <c r="E67" s="16" t="str">
        <f>'F9'!D3</f>
        <v>Delivered messages</v>
      </c>
      <c r="F67" s="16" t="str">
        <f>'F9'!E3</f>
        <v>Loss</v>
      </c>
      <c r="G67" s="16" t="str">
        <f>'F9'!F3</f>
        <v>F2 (risk)</v>
      </c>
      <c r="H67" s="16" t="str">
        <f>'F9'!G3</f>
        <v>Delivery rate</v>
      </c>
      <c r="I67" s="16" t="str">
        <f>'F9'!H3</f>
        <v>Noise</v>
      </c>
    </row>
    <row r="68" spans="1:9" ht="30.75" customHeight="1" x14ac:dyDescent="0.25">
      <c r="A68" s="1" t="s">
        <v>569</v>
      </c>
      <c r="B68" s="2" t="s">
        <v>482</v>
      </c>
      <c r="C68" s="16" t="str">
        <f>'F9'!B4</f>
        <v>Maintain records</v>
      </c>
      <c r="D68" s="16" t="str">
        <f>'F9'!C4</f>
        <v>Data</v>
      </c>
      <c r="E68" s="16" t="str">
        <f>'F9'!D4</f>
        <v>Records</v>
      </c>
      <c r="F68" s="16" t="str">
        <f>'F9'!E4</f>
        <v>Corruption</v>
      </c>
      <c r="G68" s="16" t="str">
        <f>'F9'!F4</f>
        <v>F10 (standards)</v>
      </c>
      <c r="H68" s="16" t="str">
        <f>'F9'!G4</f>
        <v>Record integrity</v>
      </c>
      <c r="I68" s="16" t="str">
        <f>'F9'!H4</f>
        <v>Privacy</v>
      </c>
    </row>
    <row r="69" spans="1:9" ht="30.75" customHeight="1" x14ac:dyDescent="0.25">
      <c r="A69" s="1" t="s">
        <v>569</v>
      </c>
      <c r="B69" s="2" t="s">
        <v>488</v>
      </c>
      <c r="C69" s="16" t="str">
        <f>'F9'!B5</f>
        <v>Control access</v>
      </c>
      <c r="D69" s="16" t="str">
        <f>'F9'!C5</f>
        <v>Roles</v>
      </c>
      <c r="E69" s="16" t="str">
        <f>'F9'!D5</f>
        <v>Access events</v>
      </c>
      <c r="F69" s="16" t="str">
        <f>'F9'!E5</f>
        <v>Privilege creep</v>
      </c>
      <c r="G69" s="16" t="str">
        <f>'F9'!F5</f>
        <v>F1 (roles)</v>
      </c>
      <c r="H69" s="16" t="str">
        <f>'F9'!G5</f>
        <v>Access violations</v>
      </c>
      <c r="I69" s="16" t="str">
        <f>'F9'!H5</f>
        <v>Over‑restriction</v>
      </c>
    </row>
    <row r="70" spans="1:9" ht="30.75" customHeight="1" x14ac:dyDescent="0.25">
      <c r="A70" s="1" t="s">
        <v>569</v>
      </c>
      <c r="B70" s="2" t="s">
        <v>493</v>
      </c>
      <c r="C70" s="16" t="str">
        <f>'F9'!B6</f>
        <v>Define schemas</v>
      </c>
      <c r="D70" s="16" t="str">
        <f>'F9'!C6</f>
        <v>Standards</v>
      </c>
      <c r="E70" s="16" t="str">
        <f>'F9'!D6</f>
        <v>Schemas</v>
      </c>
      <c r="F70" s="16" t="str">
        <f>'F9'!E6</f>
        <v>Schema drift</v>
      </c>
      <c r="G70" s="16" t="str">
        <f>'F9'!F6</f>
        <v>F3 (data)</v>
      </c>
      <c r="H70" s="16" t="str">
        <f>'F9'!G6</f>
        <v>Schema compliance</v>
      </c>
      <c r="I70" s="16" t="str">
        <f>'F9'!H6</f>
        <v>Rigidity</v>
      </c>
    </row>
    <row r="71" spans="1:9" ht="30.75" customHeight="1" x14ac:dyDescent="0.25">
      <c r="A71" s="1" t="s">
        <v>569</v>
      </c>
      <c r="B71" s="2" t="s">
        <v>499</v>
      </c>
      <c r="C71" s="16" t="str">
        <f>'F9'!B7</f>
        <v>Provide time/address</v>
      </c>
      <c r="D71" s="16" t="str">
        <f>'F9'!C7</f>
        <v>Clocks</v>
      </c>
      <c r="E71" s="16" t="str">
        <f>'F9'!D7</f>
        <v>Timestamps</v>
      </c>
      <c r="F71" s="16" t="str">
        <f>'F9'!E7</f>
        <v>Drift</v>
      </c>
      <c r="G71" s="16" t="str">
        <f>'F9'!F7</f>
        <v>F6 (infra)</v>
      </c>
      <c r="H71" s="16" t="str">
        <f>'F9'!G7</f>
        <v>Time accuracy</v>
      </c>
      <c r="I71" s="16" t="str">
        <f>'F9'!H7</f>
        <v>Over‑precision</v>
      </c>
    </row>
    <row r="72" spans="1:9" ht="30.75" customHeight="1" x14ac:dyDescent="0.25">
      <c r="A72" s="1" t="s">
        <v>569</v>
      </c>
      <c r="B72" s="2" t="s">
        <v>506</v>
      </c>
      <c r="C72" s="16" t="str">
        <f>'F9'!B8</f>
        <v>Enable interop</v>
      </c>
      <c r="D72" s="16" t="str">
        <f>'F9'!C8</f>
        <v>Standards</v>
      </c>
      <c r="E72" s="16" t="str">
        <f>'F9'!D8</f>
        <v>Protocols</v>
      </c>
      <c r="F72" s="16" t="str">
        <f>'F9'!E8</f>
        <v>Breakage</v>
      </c>
      <c r="G72" s="16" t="str">
        <f>'F9'!F8</f>
        <v>F8 (integration)</v>
      </c>
      <c r="H72" s="16" t="str">
        <f>'F9'!G8</f>
        <v>Protocol uptime</v>
      </c>
      <c r="I72" s="16" t="str">
        <f>'F9'!H8</f>
        <v>Over‑coupling</v>
      </c>
    </row>
    <row r="73" spans="1:9" ht="30.75" customHeight="1" x14ac:dyDescent="0.25">
      <c r="A73" s="1" t="s">
        <v>569</v>
      </c>
      <c r="B73" s="2" t="s">
        <v>511</v>
      </c>
      <c r="C73" s="16" t="str">
        <f>'F9'!B9</f>
        <v>Ensure safety</v>
      </c>
      <c r="D73" s="16" t="str">
        <f>'F9'!C9</f>
        <v>Rules</v>
      </c>
      <c r="E73" s="16" t="str">
        <f>'F9'!D9</f>
        <v>Compliance signals</v>
      </c>
      <c r="F73" s="16" t="str">
        <f>'F9'!E9</f>
        <v>Non‑compliance</v>
      </c>
      <c r="G73" s="16" t="str">
        <f>'F9'!F9</f>
        <v>F5 (behaviour)</v>
      </c>
      <c r="H73" s="16" t="str">
        <f>'F9'!G9</f>
        <v>Compliance rate</v>
      </c>
      <c r="I73" s="16" t="str">
        <f>'F9'!H9</f>
        <v>Over‑compliance</v>
      </c>
    </row>
    <row r="74" spans="1:9" ht="30.75" customHeight="1" x14ac:dyDescent="0.25">
      <c r="A74" s="1" t="s">
        <v>570</v>
      </c>
      <c r="B74" s="2" t="s">
        <v>515</v>
      </c>
      <c r="C74" s="16" t="str">
        <f>'F10'!B2</f>
        <v>Create standards</v>
      </c>
      <c r="D74" s="16" t="str">
        <f>'F10'!C2</f>
        <v>Proposals</v>
      </c>
      <c r="E74" s="16" t="str">
        <f>'F10'!D2</f>
        <v>Drafts</v>
      </c>
      <c r="F74" s="16" t="str">
        <f>'F10'!E2</f>
        <v>Capture</v>
      </c>
      <c r="G74" s="16" t="str">
        <f>'F10'!F2</f>
        <v>F4 (feedback)</v>
      </c>
      <c r="H74" s="16" t="str">
        <f>'F10'!G2</f>
        <v>Draft quality</v>
      </c>
      <c r="I74" s="16" t="str">
        <f>'F10'!H2</f>
        <v>Over‑standardisation</v>
      </c>
    </row>
    <row r="75" spans="1:9" ht="30.75" customHeight="1" x14ac:dyDescent="0.25">
      <c r="A75" s="1" t="s">
        <v>570</v>
      </c>
      <c r="B75" s="2" t="s">
        <v>521</v>
      </c>
      <c r="C75" s="16" t="str">
        <f>'F10'!B3</f>
        <v>Manage versions</v>
      </c>
      <c r="D75" s="16" t="str">
        <f>'F10'!C3</f>
        <v>Changes</v>
      </c>
      <c r="E75" s="16" t="str">
        <f>'F10'!D3</f>
        <v>Versions</v>
      </c>
      <c r="F75" s="16" t="str">
        <f>'F10'!E3</f>
        <v>Drift</v>
      </c>
      <c r="G75" s="16" t="str">
        <f>'F10'!F3</f>
        <v>F3 (audit)</v>
      </c>
      <c r="H75" s="16" t="str">
        <f>'F10'!G3</f>
        <v>Version clarity</v>
      </c>
      <c r="I75" s="16" t="str">
        <f>'F10'!H3</f>
        <v>Update fatigue</v>
      </c>
    </row>
    <row r="76" spans="1:9" ht="30.75" customHeight="1" x14ac:dyDescent="0.25">
      <c r="A76" s="1" t="s">
        <v>570</v>
      </c>
      <c r="B76" s="2" t="s">
        <v>527</v>
      </c>
      <c r="C76" s="16" t="str">
        <f>'F10'!B4</f>
        <v>Align standards</v>
      </c>
      <c r="D76" s="16" t="str">
        <f>'F10'!C4</f>
        <v>Standards</v>
      </c>
      <c r="E76" s="16" t="str">
        <f>'F10'!D4</f>
        <v>Harmonised sets</v>
      </c>
      <c r="F76" s="16" t="str">
        <f>'F10'!E4</f>
        <v>Conflict</v>
      </c>
      <c r="G76" s="16" t="str">
        <f>'F10'!F4</f>
        <v>F8 (integration)</v>
      </c>
      <c r="H76" s="16" t="str">
        <f>'F10'!G4</f>
        <v>Harmony score</v>
      </c>
      <c r="I76" s="16" t="str">
        <f>'F10'!H4</f>
        <v>Over‑alignment</v>
      </c>
    </row>
    <row r="77" spans="1:9" ht="30.75" customHeight="1" x14ac:dyDescent="0.25">
      <c r="A77" s="1" t="s">
        <v>570</v>
      </c>
      <c r="B77" s="2" t="s">
        <v>533</v>
      </c>
      <c r="C77" s="16" t="str">
        <f>'F10'!B5</f>
        <v>Certify compliance</v>
      </c>
      <c r="D77" s="16" t="str">
        <f>'F10'!C5</f>
        <v>Tests</v>
      </c>
      <c r="E77" s="16" t="str">
        <f>'F10'!D5</f>
        <v>Certificates</v>
      </c>
      <c r="F77" s="16" t="str">
        <f>'F10'!E5</f>
        <v>False certs</v>
      </c>
      <c r="G77" s="16" t="str">
        <f>'F10'!F5</f>
        <v>F7 (ecology)</v>
      </c>
      <c r="H77" s="16" t="str">
        <f>'F10'!G5</f>
        <v>Cert accuracy</v>
      </c>
      <c r="I77" s="16" t="str">
        <f>'F10'!H5</f>
        <v>Compliance burden</v>
      </c>
    </row>
    <row r="78" spans="1:9" ht="30.75" customHeight="1" x14ac:dyDescent="0.25">
      <c r="A78" s="1" t="s">
        <v>570</v>
      </c>
      <c r="B78" s="2" t="s">
        <v>540</v>
      </c>
      <c r="C78" s="16" t="str">
        <f>'F10'!B6</f>
        <v>Provide examples</v>
      </c>
      <c r="D78" s="16" t="str">
        <f>'F10'!C6</f>
        <v>Standards</v>
      </c>
      <c r="E78" s="16" t="str">
        <f>'F10'!D6</f>
        <v>RIs</v>
      </c>
      <c r="F78" s="16" t="str">
        <f>'F10'!E6</f>
        <v>Over‑complexity</v>
      </c>
      <c r="G78" s="16" t="str">
        <f>'F10'!F6</f>
        <v>F9 (protocols)</v>
      </c>
      <c r="H78" s="16" t="str">
        <f>'F10'!G6</f>
        <v>RI minimalism</v>
      </c>
      <c r="I78" s="16" t="str">
        <f>'F10'!H6</f>
        <v>De‑facto capture</v>
      </c>
    </row>
    <row r="79" spans="1:9" ht="30.75" customHeight="1" x14ac:dyDescent="0.25">
      <c r="A79" s="1" t="s">
        <v>570</v>
      </c>
      <c r="B79" s="2" t="s">
        <v>546</v>
      </c>
      <c r="C79" s="16" t="str">
        <f>'F10'!B7</f>
        <v>Store standards</v>
      </c>
      <c r="D79" s="16" t="str">
        <f>'F10'!C7</f>
        <v>Data</v>
      </c>
      <c r="E79" s="16" t="str">
        <f>'F10'!D7</f>
        <v>Registries</v>
      </c>
      <c r="F79" s="16" t="str">
        <f>'F10'!E7</f>
        <v>Corruption</v>
      </c>
      <c r="G79" s="16" t="str">
        <f>'F10'!F7</f>
        <v>F3 (audit)</v>
      </c>
      <c r="H79" s="16" t="str">
        <f>'F10'!G7</f>
        <v>Registry integrity</v>
      </c>
      <c r="I79" s="16" t="str">
        <f>'F10'!H7</f>
        <v>Rigidity</v>
      </c>
    </row>
    <row r="80" spans="1:9" ht="30.75" customHeight="1" x14ac:dyDescent="0.25">
      <c r="A80" s="1" t="s">
        <v>570</v>
      </c>
      <c r="B80" s="2" t="s">
        <v>550</v>
      </c>
      <c r="C80" s="16" t="str">
        <f>'F10'!B8</f>
        <v>Publish reasoning</v>
      </c>
      <c r="D80" s="16" t="str">
        <f>'F10'!C8</f>
        <v>Logs</v>
      </c>
      <c r="E80" s="16" t="str">
        <f>'F10'!D8</f>
        <v>Reasoning</v>
      </c>
      <c r="F80" s="16" t="str">
        <f>'F10'!E8</f>
        <v>Opaqueness</v>
      </c>
      <c r="G80" s="16" t="str">
        <f>'F10'!F8</f>
        <v>F4 (feedback)</v>
      </c>
      <c r="H80" s="16" t="str">
        <f>'F10'!G8</f>
        <v>Transparency score</v>
      </c>
      <c r="I80" s="16" t="str">
        <f>'F10'!H8</f>
        <v>Over‑exposure</v>
      </c>
    </row>
    <row r="81" spans="1:9" ht="30.75" customHeight="1" x14ac:dyDescent="0.25">
      <c r="A81" s="1" t="s">
        <v>570</v>
      </c>
      <c r="B81" s="2" t="s">
        <v>556</v>
      </c>
      <c r="C81" s="16" t="str">
        <f>'F10'!B9</f>
        <v>Prevent capture</v>
      </c>
      <c r="D81" s="16" t="str">
        <f>'F10'!C9</f>
        <v>Signals</v>
      </c>
      <c r="E81" s="16" t="str">
        <f>'F10'!D9</f>
        <v>Safeguards</v>
      </c>
      <c r="F81" s="16" t="str">
        <f>'F10'!E9</f>
        <v>Capture</v>
      </c>
      <c r="G81" s="16" t="str">
        <f>'F10'!F9</f>
        <v>F1 (oversight)</v>
      </c>
      <c r="H81" s="16" t="str">
        <f>'F10'!G9</f>
        <v>Capture risk</v>
      </c>
      <c r="I81" s="16" t="str">
        <f>'F10'!H9</f>
        <v>Over‑constraints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F1</vt:lpstr>
      <vt:lpstr>F2</vt:lpstr>
      <vt:lpstr>F3</vt:lpstr>
      <vt:lpstr>F4</vt:lpstr>
      <vt:lpstr>F5</vt:lpstr>
      <vt:lpstr>F6</vt:lpstr>
      <vt:lpstr>F7</vt:lpstr>
      <vt:lpstr>F8</vt:lpstr>
      <vt:lpstr>F9</vt:lpstr>
      <vt:lpstr>F10</vt:lpstr>
      <vt:lpstr>Index</vt:lpstr>
      <vt:lpstr>Cross Family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Coe</dc:creator>
  <cp:lastModifiedBy>Steve Coe</cp:lastModifiedBy>
  <dcterms:created xsi:type="dcterms:W3CDTF">2026-06-24T10:00:55Z</dcterms:created>
  <dcterms:modified xsi:type="dcterms:W3CDTF">2026-06-30T19:14:33Z</dcterms:modified>
</cp:coreProperties>
</file>